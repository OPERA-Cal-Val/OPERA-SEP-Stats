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hweir/Desktop/ESDIS/Reports/Requested Reports/2026/OPERA/02-2026/"/>
    </mc:Choice>
  </mc:AlternateContent>
  <xr:revisionPtr revIDLastSave="0" documentId="13_ncr:2001_{91AD0761-746B-A94A-80CE-8374CCA5382A}" xr6:coauthVersionLast="47" xr6:coauthVersionMax="47" xr10:uidLastSave="{00000000-0000-0000-0000-000000000000}"/>
  <bookViews>
    <workbookView xWindow="15720" yWindow="760" windowWidth="27500" windowHeight="18740" activeTab="1"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30" r:id="rId6"/>
    <sheet name="PSA-Product" sheetId="28" r:id="rId7"/>
  </sheets>
  <definedNames>
    <definedName name="_xlnm._FilterDatabase" localSheetId="1" hidden="1">'Summary-Total'!$B$26:$E$29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9" l="1"/>
  <c r="F23" i="19"/>
  <c r="E23" i="19"/>
  <c r="N108" i="1"/>
  <c r="M108" i="1"/>
  <c r="O108" i="1" s="1"/>
  <c r="E25" i="1"/>
  <c r="D25" i="1"/>
  <c r="C25" i="1"/>
  <c r="J25" i="1"/>
  <c r="I25" i="1"/>
  <c r="H25" i="1"/>
  <c r="E10" i="1"/>
  <c r="D10" i="1"/>
  <c r="C10" i="1"/>
  <c r="K46" i="27"/>
  <c r="J46" i="27"/>
  <c r="I46" i="27"/>
  <c r="F9" i="27"/>
  <c r="E9" i="27"/>
  <c r="D9" i="27"/>
</calcChain>
</file>

<file path=xl/sharedStrings.xml><?xml version="1.0" encoding="utf-8"?>
<sst xmlns="http://schemas.openxmlformats.org/spreadsheetml/2006/main" count="836" uniqueCount="198">
  <si>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</si>
  <si>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</si>
  <si>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</si>
  <si>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</si>
  <si>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</si>
  <si>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</si>
  <si>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</si>
  <si>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</si>
  <si>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</si>
  <si>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</si>
  <si>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</si>
  <si>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</si>
  <si>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</si>
  <si>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</si>
  <si>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</si>
  <si>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</si>
  <si>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</si>
  <si>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</si>
  <si>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</si>
  <si>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</si>
  <si>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</si>
  <si>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</si>
  <si>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</si>
  <si>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</si>
  <si>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</si>
  <si>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</si>
  <si>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</si>
  <si>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</si>
  <si>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</si>
  <si>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</si>
  <si>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</si>
  <si>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</si>
  <si>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</si>
  <si>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</si>
  <si>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</si>
  <si>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</si>
  <si>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</si>
  <si>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</si>
  <si>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</si>
  <si>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</si>
  <si>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</si>
  <si>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</si>
  <si>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</si>
  <si>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</si>
  <si>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</si>
  <si>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</si>
  <si>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</si>
  <si>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</si>
  <si>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</si>
  <si>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</si>
  <si>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</si>
  <si>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</si>
  <si>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</si>
  <si>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</si>
  <si>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</si>
  <si>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</si>
  <si>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</si>
  <si>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</si>
  <si>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</si>
  <si>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</si>
  <si>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</si>
  <si>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</si>
  <si>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</si>
  <si>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</si>
  <si>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</si>
  <si>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</si>
  <si>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Bolivia</t>
  </si>
  <si>
    <t>Brazil</t>
  </si>
  <si>
    <t>Canada</t>
  </si>
  <si>
    <t>Chile</t>
  </si>
  <si>
    <t>China</t>
  </si>
  <si>
    <t>Colombia</t>
  </si>
  <si>
    <t>Ecuador</t>
  </si>
  <si>
    <t>Egypt</t>
  </si>
  <si>
    <t>Ethiopia</t>
  </si>
  <si>
    <t>France</t>
  </si>
  <si>
    <t>Germany</t>
  </si>
  <si>
    <t>Greece</t>
  </si>
  <si>
    <t>Guatemala</t>
  </si>
  <si>
    <t>India</t>
  </si>
  <si>
    <t>Indonesia</t>
  </si>
  <si>
    <t>Iran</t>
  </si>
  <si>
    <t>Iraq</t>
  </si>
  <si>
    <t>Italy</t>
  </si>
  <si>
    <t>Japan</t>
  </si>
  <si>
    <t>Malaysia</t>
  </si>
  <si>
    <t>Mexico</t>
  </si>
  <si>
    <t>Morocco</t>
  </si>
  <si>
    <t>Netherlands</t>
  </si>
  <si>
    <t>New Zealand</t>
  </si>
  <si>
    <t>Norway</t>
  </si>
  <si>
    <t>Pakistan</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</si>
  <si>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</si>
  <si>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</si>
  <si>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</si>
  <si>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</si>
  <si>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</si>
  <si>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</si>
  <si>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</si>
  <si>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</si>
  <si>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</si>
  <si>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</si>
  <si>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</si>
  <si>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</si>
  <si>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</si>
  <si>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</si>
  <si>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</si>
  <si>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</si>
  <si>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Belgium</t>
  </si>
  <si>
    <t>Bulgaria</t>
  </si>
  <si>
    <t>Jordan</t>
  </si>
  <si>
    <t>Kazakhstan</t>
  </si>
  <si>
    <t>Mongolia</t>
  </si>
  <si>
    <t>Nigeria</t>
  </si>
  <si>
    <t>Portugal</t>
  </si>
  <si>
    <t>Romania</t>
  </si>
  <si>
    <t>Sri Lanka</t>
  </si>
  <si>
    <t>Syria</t>
  </si>
  <si>
    <t>Thailand</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</si>
  <si>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</si>
  <si>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</si>
  <si>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</si>
  <si>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</si>
  <si>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</si>
  <si>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</si>
  <si>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</si>
  <si>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</si>
  <si>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</si>
  <si>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</si>
  <si>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</si>
  <si>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OPERA_L3_DSWX-S1_V1</t>
  </si>
  <si>
    <t>OPERA Dynamic Surface Water Extent from Sentinel-1 (Version 1)</t>
  </si>
  <si>
    <t>PROVIDER</t>
  </si>
  <si>
    <t>Vol GB</t>
  </si>
  <si>
    <t>#Files</t>
  </si>
  <si>
    <t>#Users</t>
  </si>
  <si>
    <t>Date</t>
  </si>
  <si>
    <t>Total:</t>
  </si>
  <si>
    <t>Total</t>
  </si>
  <si>
    <t>OPERA_L3_DISP-S1_V1</t>
  </si>
  <si>
    <t>OPERA Surface Displacement from Sentinel-1 validated product (Version 1)</t>
  </si>
  <si>
    <t>OPERA Products</t>
  </si>
  <si>
    <t>OPERA_L4_TROPO-ZENITH_V1</t>
  </si>
  <si>
    <t>OPERA Tropospheric Correction at Zenith validated product (Version 1)</t>
  </si>
  <si>
    <t>Dat Volume (GB)</t>
  </si>
  <si>
    <t># of Files</t>
  </si>
  <si>
    <t># of Users</t>
  </si>
  <si>
    <t>Data Distribution of OPERA Products By EOSDIS DAACs based on User Country</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</si>
  <si>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</si>
  <si>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</si>
  <si>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</si>
  <si>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</si>
  <si>
    <t xml:space="preserve">9. Since November 2023, there has been significant gaps in EMS data that has been backfilled by LPDAAC. </t>
  </si>
  <si>
    <t>Polar Processes</t>
  </si>
  <si>
    <t>Cameroon</t>
  </si>
  <si>
    <t>Nepal</t>
  </si>
  <si>
    <t>Nicaragua</t>
  </si>
  <si>
    <t>Uzbekistan</t>
  </si>
  <si>
    <t>OPERA_DSWX-S1_CALVAL_V1</t>
  </si>
  <si>
    <t>OPERA Dynamic Surface Water Extent from Sentinel-1 CalVal Database (Version 1)</t>
  </si>
  <si>
    <t>OPERA_DSWX-HLS_CALVAL_PROVISIONAL_V1</t>
  </si>
  <si>
    <t>OPERA_L3_DSWX-HLS_PROVISIONAL_V0</t>
  </si>
  <si>
    <t>OPERA Dynamic Surface Water Extent from Harmonized Landsat Sentinel-2 CalVal Database (Version 1)</t>
  </si>
  <si>
    <t>Sweden</t>
  </si>
  <si>
    <t>Azerbaijan</t>
  </si>
  <si>
    <t>Cambodia</t>
  </si>
  <si>
    <t>Finland</t>
  </si>
  <si>
    <t>Hungary</t>
  </si>
  <si>
    <t>Paraguay</t>
  </si>
  <si>
    <t>Tropospheric Chemistry</t>
  </si>
  <si>
    <t>Burma</t>
  </si>
  <si>
    <t>Guinea</t>
  </si>
  <si>
    <t>Mozambique</t>
  </si>
  <si>
    <t>Slovakia</t>
  </si>
  <si>
    <t>OPERA_L3_DISP-S1-STATIC_V1</t>
  </si>
  <si>
    <t>X</t>
  </si>
  <si>
    <t>OPERA Surface Displacement from Sentinel-1 Static Layers validated product (Version 1)</t>
  </si>
  <si>
    <t xml:space="preserve">Total Distribution of OPERA Data Products by Provider
 (Nov 2022 - 28 February 2026)								</t>
  </si>
  <si>
    <t xml:space="preserve">Total Distribution of OPERA Data Products by Month
 (Nov 2022 - 28 February 2026)										</t>
  </si>
  <si>
    <t>For February 2026</t>
  </si>
  <si>
    <t>For January 2026-February 2026</t>
  </si>
  <si>
    <t>Belarus</t>
  </si>
  <si>
    <t>Cote d'Ivoire</t>
  </si>
  <si>
    <t>Ghana</t>
  </si>
  <si>
    <t>Honduras</t>
  </si>
  <si>
    <t>Ireland</t>
  </si>
  <si>
    <t>Latvia</t>
  </si>
  <si>
    <t>Lebanon</t>
  </si>
  <si>
    <t>Luxembourg</t>
  </si>
  <si>
    <t>Moldova</t>
  </si>
  <si>
    <t>Niger</t>
  </si>
  <si>
    <t>Oman</t>
  </si>
  <si>
    <t>Palestinian Territory</t>
  </si>
  <si>
    <t>Panama</t>
  </si>
  <si>
    <t>Senegal</t>
  </si>
  <si>
    <t>Slovenia</t>
  </si>
  <si>
    <t>Tajikistan</t>
  </si>
  <si>
    <t>Tanzania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</si>
</sst>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6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77">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164" fontId="0" fillId="0" borderId="50" xfId="1" applyNumberFormat="1" applyFont="1" applyBorder="1"/>
    <xf numFmtId="164" fontId="0" fillId="0" borderId="57"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4" fillId="0" borderId="25" xfId="1" applyNumberFormat="1" applyFont="1" applyBorder="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13" xfId="0" applyFont="1" applyBorder="1" applyAlignment="1">
      <alignment horizontal="center"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59" xfId="0" applyFont="1" applyBorder="1" applyAlignment="1">
      <alignment horizontal="left" vertical="center"/>
    </xf>
    <xf numFmtId="0" fontId="0" fillId="0" borderId="36" xfId="0" applyBorder="1" applyAlignment="1">
      <alignment horizontal="left"/>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8"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6"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1" xfId="0" applyNumberFormat="1" applyBorder="1" applyAlignment="1">
      <alignment vertical="center"/>
    </xf>
    <xf numFmtId="43" fontId="2" fillId="0" borderId="23" xfId="1" applyFont="1" applyFill="1" applyBorder="1" applyAlignment="1">
      <alignment vertical="center"/>
    </xf>
    <xf numFmtId="43" fontId="2" fillId="0" borderId="55"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2" fillId="0" borderId="52" xfId="0" applyFont="1" applyBorder="1" applyAlignment="1">
      <alignment horizontal="center" vertical="center"/>
    </xf>
    <xf numFmtId="0" fontId="0" fillId="0" borderId="53" xfId="0" applyBorder="1" applyAlignment="1">
      <alignment vertical="center"/>
    </xf>
    <xf numFmtId="43" fontId="2" fillId="0" borderId="53" xfId="0" applyNumberFormat="1" applyFont="1" applyBorder="1" applyAlignment="1">
      <alignment vertical="center"/>
    </xf>
    <xf numFmtId="164" fontId="2" fillId="0" borderId="53"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4"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0"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164" fontId="0" fillId="0" borderId="6" xfId="0" applyNumberFormat="1" applyBorder="1" applyAlignment="1">
      <alignment vertical="center"/>
    </xf>
    <xf numFmtId="164" fontId="0" fillId="0" borderId="50" xfId="0" applyNumberFormat="1" applyBorder="1" applyAlignment="1">
      <alignment vertical="center"/>
    </xf>
    <xf numFmtId="0" fontId="2" fillId="0" borderId="27" xfId="0" applyFont="1" applyBorder="1" applyAlignment="1">
      <alignment horizontal="center" vertical="center"/>
    </xf>
    <xf numFmtId="0" fontId="2" fillId="0" borderId="60" xfId="0" applyFont="1" applyBorder="1" applyAlignment="1">
      <alignment horizontal="left" indent="1"/>
    </xf>
    <xf numFmtId="0" fontId="0" fillId="0" borderId="41" xfId="0" applyBorder="1" applyAlignment="1">
      <alignment vertical="center"/>
    </xf>
    <xf numFmtId="43" fontId="2" fillId="0" borderId="41" xfId="0" applyNumberFormat="1" applyFont="1" applyBorder="1" applyAlignment="1">
      <alignment vertical="center"/>
    </xf>
    <xf numFmtId="164" fontId="2" fillId="0" borderId="41" xfId="0" applyNumberFormat="1" applyFont="1" applyBorder="1" applyAlignment="1">
      <alignment vertical="center"/>
    </xf>
    <xf numFmtId="164" fontId="2" fillId="0" borderId="48" xfId="0" applyNumberFormat="1" applyFont="1" applyBorder="1" applyAlignment="1">
      <alignment vertical="center"/>
    </xf>
    <xf numFmtId="0" fontId="2" fillId="0" borderId="12" xfId="0" applyFont="1" applyBorder="1"/>
    <xf numFmtId="43" fontId="9" fillId="0" borderId="28" xfId="1" applyFont="1" applyBorder="1" applyAlignment="1">
      <alignment vertical="center"/>
    </xf>
    <xf numFmtId="164" fontId="9" fillId="0" borderId="29" xfId="1" applyNumberFormat="1" applyFont="1" applyBorder="1" applyAlignment="1">
      <alignment vertical="center"/>
    </xf>
    <xf numFmtId="43" fontId="9" fillId="0" borderId="61" xfId="1" applyFont="1" applyBorder="1"/>
    <xf numFmtId="164" fontId="9" fillId="0" borderId="62" xfId="1" applyNumberFormat="1" applyFont="1" applyBorder="1"/>
    <xf numFmtId="0" fontId="9" fillId="0" borderId="0" xfId="0" applyFont="1" applyAlignment="1">
      <alignment vertical="center"/>
    </xf>
    <xf numFmtId="43" fontId="4" fillId="0" borderId="28" xfId="1" applyFont="1" applyBorder="1"/>
    <xf numFmtId="164" fontId="4" fillId="0" borderId="29" xfId="1" applyNumberFormat="1" applyFont="1" applyBorder="1"/>
    <xf numFmtId="164" fontId="0" fillId="0" borderId="0" xfId="1" applyNumberFormat="1" applyFont="1" applyAlignment="1">
      <alignment horizontal="center" vertical="center"/>
    </xf>
    <xf numFmtId="164" fontId="0" fillId="0" borderId="0" xfId="1" applyNumberFormat="1" applyFont="1"/>
    <xf numFmtId="0" fontId="0" fillId="0" borderId="27" xfId="0" applyBorder="1"/>
    <xf numFmtId="0" fontId="0" fillId="0" borderId="23" xfId="0" applyBorder="1"/>
    <xf numFmtId="0" fontId="0" fillId="0" borderId="53" xfId="0" applyBorder="1"/>
    <xf numFmtId="0" fontId="2" fillId="0" borderId="18" xfId="0" applyFont="1" applyBorder="1" applyAlignment="1">
      <alignment horizontal="left" indent="1"/>
    </xf>
    <xf numFmtId="43" fontId="0" fillId="0" borderId="6" xfId="1" applyFont="1" applyBorder="1" applyAlignment="1"/>
    <xf numFmtId="0" fontId="2" fillId="0" borderId="0" xfId="0" applyFont="1" applyAlignment="1">
      <alignment horizontal="left" indent="1"/>
    </xf>
    <xf numFmtId="164" fontId="0" fillId="0" borderId="44" xfId="0" applyNumberFormat="1" applyBorder="1"/>
    <xf numFmtId="43" fontId="0" fillId="0" borderId="0" xfId="1" applyFont="1" applyAlignment="1">
      <alignment horizontal="center" vertical="center"/>
    </xf>
    <xf numFmtId="43" fontId="4" fillId="0" borderId="7" xfId="1" applyFont="1" applyBorder="1" applyAlignment="1">
      <alignment horizontal="center" vertical="center"/>
    </xf>
    <xf numFmtId="43" fontId="0" fillId="0" borderId="0" xfId="1" applyFont="1"/>
    <xf numFmtId="0" fontId="2" fillId="0" borderId="18" xfId="0" applyFont="1" applyBorder="1" applyAlignment="1">
      <alignment horizontal="left"/>
    </xf>
    <xf numFmtId="43" fontId="2" fillId="0" borderId="20" xfId="0" applyNumberFormat="1" applyFont="1" applyBorder="1"/>
    <xf numFmtId="164" fontId="2" fillId="0" borderId="20" xfId="0" applyNumberFormat="1" applyFont="1" applyBorder="1"/>
    <xf numFmtId="164" fontId="2" fillId="0" borderId="21" xfId="0" applyNumberFormat="1" applyFont="1" applyBorder="1"/>
    <xf numFmtId="0" fontId="0" fillId="0" borderId="15" xfId="0" applyBorder="1"/>
    <xf numFmtId="43" fontId="2" fillId="0" borderId="15" xfId="0" applyNumberFormat="1" applyFont="1" applyBorder="1"/>
    <xf numFmtId="164" fontId="2" fillId="0" borderId="15" xfId="0" applyNumberFormat="1" applyFont="1" applyBorder="1"/>
    <xf numFmtId="43" fontId="2" fillId="0" borderId="0" xfId="0" applyNumberFormat="1" applyFont="1"/>
    <xf numFmtId="164" fontId="2" fillId="0" borderId="0" xfId="0" applyNumberFormat="1" applyFont="1"/>
    <xf numFmtId="164" fontId="2" fillId="0" borderId="44" xfId="0" applyNumberFormat="1" applyFont="1" applyBorder="1"/>
    <xf numFmtId="0" fontId="0" fillId="0" borderId="0" xfId="0" applyAlignment="1">
      <alignment horizontal="left" indent="2"/>
    </xf>
    <xf numFmtId="164" fontId="2" fillId="0" borderId="16" xfId="0" applyNumberFormat="1" applyFont="1" applyBorder="1"/>
    <xf numFmtId="43" fontId="2" fillId="0" borderId="53" xfId="0" applyNumberFormat="1" applyFont="1" applyBorder="1"/>
    <xf numFmtId="164" fontId="2" fillId="0" borderId="53" xfId="0" applyNumberFormat="1" applyFont="1" applyBorder="1"/>
    <xf numFmtId="164" fontId="2" fillId="0" borderId="54" xfId="0" applyNumberFormat="1" applyFont="1" applyBorder="1"/>
    <xf numFmtId="0" fontId="2" fillId="0" borderId="52" xfId="0" applyFont="1" applyBorder="1" applyAlignment="1">
      <alignment horizontal="left"/>
    </xf>
    <xf numFmtId="0" fontId="2" fillId="0" borderId="55" xfId="0" applyFont="1" applyBorder="1" applyAlignment="1">
      <alignment horizontal="left" indent="1"/>
    </xf>
    <xf numFmtId="0" fontId="0" fillId="0" borderId="6" xfId="0" applyBorder="1" applyAlignment="1">
      <alignment horizontal="left" vertical="center"/>
    </xf>
    <xf numFmtId="43" fontId="0" fillId="0" borderId="6" xfId="0" applyNumberFormat="1" applyBorder="1" applyAlignment="1">
      <alignment vertical="center"/>
    </xf>
    <xf numFmtId="43" fontId="2" fillId="0" borderId="41" xfId="0" applyNumberFormat="1" applyFont="1" applyBorder="1"/>
    <xf numFmtId="164" fontId="2" fillId="0" borderId="41" xfId="0" applyNumberFormat="1" applyFont="1" applyBorder="1"/>
    <xf numFmtId="164" fontId="2" fillId="0" borderId="48" xfId="0" applyNumberFormat="1" applyFont="1" applyBorder="1"/>
    <xf numFmtId="0" fontId="2" fillId="0" borderId="63" xfId="0" applyFont="1" applyBorder="1" applyAlignment="1">
      <alignment horizontal="left"/>
    </xf>
    <xf numFmtId="0" fontId="0" fillId="0" borderId="0" xfId="0" applyAlignment="1">
      <alignment horizontal="left" indent="1"/>
    </xf>
    <xf numFmtId="0" fontId="4" fillId="0" borderId="24" xfId="0" applyFont="1" applyBorder="1" applyAlignment="1">
      <alignment horizontal="left" vertical="center"/>
    </xf>
    <xf numFmtId="0" fontId="0" fillId="0" borderId="4" xfId="0" applyBorder="1" applyAlignment="1">
      <alignment vertical="center" wrapText="1"/>
    </xf>
    <xf numFmtId="0" fontId="9" fillId="0" borderId="37" xfId="0" applyFont="1" applyBorder="1"/>
    <xf numFmtId="164" fontId="9" fillId="0" borderId="27" xfId="1" applyNumberFormat="1" applyFont="1" applyBorder="1" applyAlignment="1">
      <alignment vertical="center"/>
    </xf>
    <xf numFmtId="43" fontId="9" fillId="0" borderId="0" xfId="0" applyNumberFormat="1" applyFont="1"/>
    <xf numFmtId="164" fontId="9" fillId="0" borderId="0" xfId="0" applyNumberFormat="1" applyFont="1"/>
    <xf numFmtId="164" fontId="9" fillId="0" borderId="44" xfId="0" applyNumberFormat="1" applyFont="1" applyBorder="1"/>
    <xf numFmtId="0" fontId="9" fillId="0" borderId="0" xfId="0" applyFont="1" applyAlignment="1">
      <alignment horizontal="left" indent="2"/>
    </xf>
    <xf numFmtId="0" fontId="7"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43" fontId="6" fillId="0" borderId="55" xfId="1" applyFont="1" applyFill="1" applyBorder="1" applyAlignment="1">
      <alignment horizontal="center" vertical="center"/>
    </xf>
    <xf numFmtId="43" fontId="6" fillId="0" borderId="18" xfId="1" applyFont="1" applyFill="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xf numFmtId="0" fontId="4" fillId="0" borderId="43" xfId="0" applyFont="1" applyBorder="1" applyAlignment="1">
      <alignment horizontal="center" vertical="center"/>
    </xf>
    <xf numFmtId="43" fontId="9" fillId="0" borderId="5" xfId="0" applyNumberFormat="1" applyFont="1" applyBorder="1" applyAlignment="1">
      <alignment vertical="center"/>
    </xf>
    <xf numFmtId="164" fontId="9" fillId="0" borderId="5" xfId="0" applyNumberFormat="1" applyFont="1" applyBorder="1" applyAlignment="1">
      <alignment vertical="center"/>
    </xf>
    <xf numFmtId="164" fontId="9" fillId="0" borderId="29" xfId="0" applyNumberFormat="1" applyFont="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election activeCell="D13" sqref="D13"/>
    </sheetView>
  </sheetViews>
  <sheetFormatPr baseColWidth="10" defaultRowHeight="16" x14ac:dyDescent="0.2"/>
  <sheetData>
    <row r="2" spans="3:4" x14ac:dyDescent="0.2">
      <c r="C2" t="s">
        <v>121</v>
      </c>
    </row>
    <row r="4" spans="3:4" x14ac:dyDescent="0.2">
      <c r="D4" t="s">
        <v>122</v>
      </c>
    </row>
    <row r="5" spans="3:4" x14ac:dyDescent="0.2">
      <c r="D5" t="s">
        <v>123</v>
      </c>
    </row>
    <row r="6" spans="3:4" x14ac:dyDescent="0.2">
      <c r="D6" t="s">
        <v>124</v>
      </c>
    </row>
    <row r="7" spans="3:4" x14ac:dyDescent="0.2">
      <c r="D7" t="s">
        <v>125</v>
      </c>
    </row>
    <row r="8" spans="3:4" x14ac:dyDescent="0.2">
      <c r="D8" t="s">
        <v>126</v>
      </c>
    </row>
    <row r="9" spans="3:4" x14ac:dyDescent="0.2">
      <c r="D9" t="s">
        <v>127</v>
      </c>
    </row>
    <row r="10" spans="3:4" x14ac:dyDescent="0.2">
      <c r="D10" t="s">
        <v>128</v>
      </c>
    </row>
    <row r="11" spans="3:4" x14ac:dyDescent="0.2">
      <c r="D11" t="s">
        <v>129</v>
      </c>
    </row>
    <row r="12" spans="3:4" x14ac:dyDescent="0.2">
      <c r="D12" t="s">
        <v>152</v>
      </c>
    </row>
    <row r="13" spans="3:4" x14ac:dyDescent="0.2">
      <c r="D13"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6"/>
  <sheetViews>
    <sheetView tabSelected="1" workbookViewId="0"/>
  </sheetViews>
  <sheetFormatPr baseColWidth="10" defaultRowHeight="16" x14ac:dyDescent="0.2"/>
  <cols>
    <col min="2" max="2" width="8.28515625" customWidth="1"/>
    <col min="3" max="3" width="13.140625" bestFit="1" customWidth="1"/>
    <col min="4" max="4" width="15.140625" customWidth="1"/>
    <col min="5" max="5" width="13.7109375" bestFit="1" customWidth="1"/>
    <col min="6" max="6" width="13.85546875" customWidth="1"/>
    <col min="8" max="8" width="13" customWidth="1"/>
    <col min="9" max="9" width="12.7109375" bestFit="1" customWidth="1"/>
    <col min="10" max="10" width="13.7109375" bestFit="1" customWidth="1"/>
    <col min="11" max="11" width="14.28515625" customWidth="1"/>
  </cols>
  <sheetData>
    <row r="2" spans="3:11" s="9" customFormat="1" x14ac:dyDescent="0.2"/>
    <row r="3" spans="3:11" s="9" customFormat="1" ht="35" customHeight="1" x14ac:dyDescent="0.2">
      <c r="C3" s="263" t="s">
        <v>177</v>
      </c>
      <c r="D3" s="263"/>
      <c r="E3" s="263"/>
      <c r="F3" s="263"/>
      <c r="H3" s="263" t="s">
        <v>178</v>
      </c>
      <c r="I3" s="263"/>
      <c r="J3" s="263"/>
      <c r="K3" s="263"/>
    </row>
    <row r="4" spans="3:11" s="9" customFormat="1" ht="17" thickBot="1" x14ac:dyDescent="0.25"/>
    <row r="5" spans="3:11" s="9" customFormat="1" ht="17" thickBot="1" x14ac:dyDescent="0.25">
      <c r="C5" s="14" t="s">
        <v>132</v>
      </c>
      <c r="D5" s="16" t="s">
        <v>133</v>
      </c>
      <c r="E5" s="33" t="s">
        <v>134</v>
      </c>
      <c r="F5" s="16" t="s">
        <v>135</v>
      </c>
      <c r="H5" s="16" t="s">
        <v>136</v>
      </c>
      <c r="I5" s="16" t="s">
        <v>133</v>
      </c>
      <c r="J5" s="33" t="s">
        <v>134</v>
      </c>
      <c r="K5" s="16" t="s">
        <v>135</v>
      </c>
    </row>
    <row r="6" spans="3:11" s="9" customFormat="1" x14ac:dyDescent="0.2">
      <c r="C6" s="34" t="s">
        <v>1</v>
      </c>
      <c r="D6" s="35">
        <v>7527497.6333906101</v>
      </c>
      <c r="E6" s="32">
        <v>994583984</v>
      </c>
      <c r="F6" s="36">
        <v>15682</v>
      </c>
      <c r="H6" s="40">
        <v>44866</v>
      </c>
      <c r="I6" s="35">
        <v>23.477077996358201</v>
      </c>
      <c r="J6" s="36">
        <v>7431</v>
      </c>
      <c r="K6" s="36">
        <v>11</v>
      </c>
    </row>
    <row r="7" spans="3:11" s="9" customFormat="1" x14ac:dyDescent="0.2">
      <c r="C7" s="34" t="s">
        <v>2</v>
      </c>
      <c r="D7" s="35">
        <v>34594.544465259598</v>
      </c>
      <c r="E7" s="32">
        <v>35146276</v>
      </c>
      <c r="F7" s="36">
        <v>2014</v>
      </c>
      <c r="H7" s="40">
        <v>44896</v>
      </c>
      <c r="I7" s="35">
        <v>0.64779590070247595</v>
      </c>
      <c r="J7" s="36">
        <v>2359</v>
      </c>
      <c r="K7" s="36">
        <v>41</v>
      </c>
    </row>
    <row r="8" spans="3:11" s="9" customFormat="1" ht="17" thickBot="1" x14ac:dyDescent="0.25">
      <c r="C8" s="34" t="s">
        <v>3</v>
      </c>
      <c r="D8" s="35">
        <v>397097.54805026902</v>
      </c>
      <c r="E8" s="32">
        <v>183225009</v>
      </c>
      <c r="F8" s="36">
        <v>3333</v>
      </c>
      <c r="H8" s="40">
        <v>44927</v>
      </c>
      <c r="I8" s="35">
        <v>6.4800424398854304</v>
      </c>
      <c r="J8" s="36">
        <v>5163</v>
      </c>
      <c r="K8" s="36">
        <v>45</v>
      </c>
    </row>
    <row r="9" spans="3:11" s="9" customFormat="1" ht="17" thickBot="1" x14ac:dyDescent="0.25">
      <c r="C9" s="37" t="s">
        <v>137</v>
      </c>
      <c r="D9" s="38">
        <f>SUM(D6:D8)</f>
        <v>7959189.7259061392</v>
      </c>
      <c r="E9" s="39">
        <f>SUM(E6:E8)</f>
        <v>1212955269</v>
      </c>
      <c r="F9" s="39">
        <f>SUM(F6:F8)</f>
        <v>21029</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52</v>
      </c>
      <c r="D13" s="16" t="s">
        <v>133</v>
      </c>
      <c r="E13" s="33" t="s">
        <v>134</v>
      </c>
      <c r="F13" s="16" t="s">
        <v>135</v>
      </c>
      <c r="H13" s="40">
        <v>45078</v>
      </c>
      <c r="I13" s="35">
        <v>21.814729833044101</v>
      </c>
      <c r="J13" s="36">
        <v>16356</v>
      </c>
      <c r="K13" s="36">
        <v>113</v>
      </c>
    </row>
    <row r="14" spans="3:11" ht="17" thickBot="1" x14ac:dyDescent="0.25">
      <c r="C14" s="41" t="s">
        <v>141</v>
      </c>
      <c r="D14" s="42">
        <v>7959189.7259061402</v>
      </c>
      <c r="E14" s="43">
        <v>1212955269</v>
      </c>
      <c r="F14" s="43">
        <v>19999</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x14ac:dyDescent="0.2">
      <c r="H41" s="40">
        <v>45931</v>
      </c>
      <c r="I41" s="35">
        <v>753830.70321953995</v>
      </c>
      <c r="J41" s="36">
        <v>138809682</v>
      </c>
      <c r="K41" s="36">
        <v>1027</v>
      </c>
    </row>
    <row r="42" spans="8:11" x14ac:dyDescent="0.2">
      <c r="H42" s="40">
        <v>45962</v>
      </c>
      <c r="I42" s="35">
        <v>809061.69320483005</v>
      </c>
      <c r="J42" s="36">
        <v>148917322</v>
      </c>
      <c r="K42" s="36">
        <v>975</v>
      </c>
    </row>
    <row r="43" spans="8:11" x14ac:dyDescent="0.2">
      <c r="H43" s="40">
        <v>45992</v>
      </c>
      <c r="I43" s="35">
        <v>1506643.55051241</v>
      </c>
      <c r="J43" s="36">
        <v>134074522</v>
      </c>
      <c r="K43" s="36">
        <v>939</v>
      </c>
    </row>
    <row r="44" spans="8:11" x14ac:dyDescent="0.2">
      <c r="H44" s="40">
        <v>46023</v>
      </c>
      <c r="I44" s="35">
        <v>240721.08471202999</v>
      </c>
      <c r="J44" s="36">
        <v>43859690</v>
      </c>
      <c r="K44" s="36">
        <v>1112</v>
      </c>
    </row>
    <row r="45" spans="8:11" ht="17" thickBot="1" x14ac:dyDescent="0.25">
      <c r="H45" s="40">
        <v>46054</v>
      </c>
      <c r="I45" s="53">
        <v>2144513.5877302298</v>
      </c>
      <c r="J45" s="54">
        <v>451172570</v>
      </c>
      <c r="K45" s="36">
        <v>972</v>
      </c>
    </row>
    <row r="46" spans="8:11" ht="17" thickBot="1" x14ac:dyDescent="0.25">
      <c r="H46" s="18" t="s">
        <v>138</v>
      </c>
      <c r="I46" s="44">
        <f>SUM(I6:I45)</f>
        <v>7959189.7246152824</v>
      </c>
      <c r="J46" s="45">
        <f>SUM(J6:J45)</f>
        <v>1212955269</v>
      </c>
      <c r="K46" s="45">
        <f>SUM(K6:K45)</f>
        <v>26308</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8"/>
  <sheetViews>
    <sheetView workbookViewId="0"/>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5" width="12.28515625" style="9" bestFit="1" customWidth="1"/>
    <col min="16" max="16" width="9.42578125" style="9" bestFit="1" customWidth="1"/>
    <col min="17" max="17" width="11.85546875" style="9" bestFit="1" customWidth="1"/>
    <col min="18" max="16384" width="10.7109375" style="9"/>
  </cols>
  <sheetData>
    <row r="3" spans="1:15" ht="54" customHeight="1" x14ac:dyDescent="0.2">
      <c r="B3" s="264" t="s">
        <v>0</v>
      </c>
      <c r="C3" s="264"/>
      <c r="D3" s="264"/>
      <c r="E3" s="264"/>
      <c r="F3" s="90"/>
      <c r="G3" s="265" t="s">
        <v>5</v>
      </c>
      <c r="H3" s="265"/>
      <c r="I3" s="265"/>
      <c r="J3" s="265"/>
      <c r="K3" s="89"/>
      <c r="L3" s="265" t="s">
        <v>147</v>
      </c>
      <c r="M3" s="265"/>
      <c r="N3" s="265"/>
      <c r="O3" s="265"/>
    </row>
    <row r="4" spans="1:15" ht="23" x14ac:dyDescent="0.2">
      <c r="C4" s="132" t="s">
        <v>180</v>
      </c>
      <c r="E4" s="1"/>
      <c r="F4" s="1"/>
      <c r="H4" s="132" t="s">
        <v>179</v>
      </c>
      <c r="J4" s="3"/>
      <c r="K4" s="3"/>
      <c r="L4" s="2"/>
      <c r="M4" s="132" t="s">
        <v>179</v>
      </c>
      <c r="N4" s="2"/>
      <c r="O4" s="2"/>
    </row>
    <row r="5" spans="1:15" ht="17" thickBot="1" x14ac:dyDescent="0.25">
      <c r="L5"/>
      <c r="M5"/>
      <c r="N5"/>
      <c r="O5"/>
    </row>
    <row r="6" spans="1:15" ht="17" thickBot="1" x14ac:dyDescent="0.25">
      <c r="A6" s="6"/>
      <c r="B6" s="6"/>
      <c r="C6" s="98" t="s">
        <v>144</v>
      </c>
      <c r="D6" s="99" t="s">
        <v>145</v>
      </c>
      <c r="E6" s="100" t="s">
        <v>146</v>
      </c>
      <c r="G6" s="16" t="s">
        <v>119</v>
      </c>
      <c r="H6" s="107" t="s">
        <v>144</v>
      </c>
      <c r="I6" s="108" t="s">
        <v>145</v>
      </c>
      <c r="J6" s="109" t="s">
        <v>146</v>
      </c>
      <c r="L6" s="16" t="s">
        <v>53</v>
      </c>
      <c r="M6" s="119" t="s">
        <v>144</v>
      </c>
      <c r="N6" s="120" t="s">
        <v>145</v>
      </c>
      <c r="O6" s="121" t="s">
        <v>146</v>
      </c>
    </row>
    <row r="7" spans="1:15" x14ac:dyDescent="0.2">
      <c r="B7" s="123" t="s">
        <v>1</v>
      </c>
      <c r="C7" s="101">
        <v>2322509.4514579498</v>
      </c>
      <c r="D7" s="102">
        <v>437343959</v>
      </c>
      <c r="E7" s="105">
        <v>1706</v>
      </c>
      <c r="G7" s="134" t="s">
        <v>6</v>
      </c>
      <c r="H7" s="135">
        <v>3.3414413481950702</v>
      </c>
      <c r="I7" s="136">
        <v>297</v>
      </c>
      <c r="J7" s="137">
        <v>3</v>
      </c>
      <c r="K7" s="6"/>
      <c r="L7" s="111" t="s">
        <v>61</v>
      </c>
      <c r="M7" s="112">
        <v>0.57443197537213497</v>
      </c>
      <c r="N7" s="113">
        <v>113</v>
      </c>
      <c r="O7" s="114">
        <v>7</v>
      </c>
    </row>
    <row r="8" spans="1:15" x14ac:dyDescent="0.2">
      <c r="B8" s="124" t="s">
        <v>2</v>
      </c>
      <c r="C8" s="101">
        <v>28505.246964218968</v>
      </c>
      <c r="D8" s="102">
        <v>28849576</v>
      </c>
      <c r="E8" s="105">
        <v>161</v>
      </c>
      <c r="G8" s="138" t="s">
        <v>7</v>
      </c>
      <c r="H8" s="101">
        <v>1053.00971155241</v>
      </c>
      <c r="I8" s="102">
        <v>1656126</v>
      </c>
      <c r="J8" s="105">
        <v>9</v>
      </c>
      <c r="L8" s="115" t="s">
        <v>62</v>
      </c>
      <c r="M8" s="110">
        <v>0.78000033460557405</v>
      </c>
      <c r="N8" s="93">
        <v>929</v>
      </c>
      <c r="O8" s="116">
        <v>9</v>
      </c>
    </row>
    <row r="9" spans="1:15" ht="17" thickBot="1" x14ac:dyDescent="0.25">
      <c r="B9" s="125" t="s">
        <v>3</v>
      </c>
      <c r="C9" s="103">
        <v>34219.974020092603</v>
      </c>
      <c r="D9" s="104">
        <v>28838725</v>
      </c>
      <c r="E9" s="106">
        <v>321</v>
      </c>
      <c r="G9" s="138" t="s">
        <v>8</v>
      </c>
      <c r="H9" s="101">
        <v>541.63126417063097</v>
      </c>
      <c r="I9" s="102">
        <v>67203</v>
      </c>
      <c r="J9" s="105">
        <v>8</v>
      </c>
      <c r="L9" s="115" t="s">
        <v>63</v>
      </c>
      <c r="M9" s="110">
        <v>23.098750531673399</v>
      </c>
      <c r="N9" s="93">
        <v>28793</v>
      </c>
      <c r="O9" s="116">
        <v>9</v>
      </c>
    </row>
    <row r="10" spans="1:15" ht="17" thickBot="1" x14ac:dyDescent="0.25">
      <c r="B10" s="97" t="s">
        <v>4</v>
      </c>
      <c r="C10" s="96">
        <f>SUM(C7:C9)</f>
        <v>2385234.6724422616</v>
      </c>
      <c r="D10" s="94">
        <f>SUM(D7:D9)</f>
        <v>495032260</v>
      </c>
      <c r="E10" s="95">
        <f>SUM(E7:E9)</f>
        <v>2188</v>
      </c>
      <c r="G10" s="138" t="s">
        <v>9</v>
      </c>
      <c r="H10" s="101">
        <v>3.5162000441923702</v>
      </c>
      <c r="I10" s="102">
        <v>12</v>
      </c>
      <c r="J10" s="105">
        <v>2</v>
      </c>
      <c r="L10" s="115" t="s">
        <v>64</v>
      </c>
      <c r="M10" s="110">
        <v>5.56729845143854</v>
      </c>
      <c r="N10" s="93">
        <v>10939</v>
      </c>
      <c r="O10" s="116">
        <v>2</v>
      </c>
    </row>
    <row r="11" spans="1:15" x14ac:dyDescent="0.2">
      <c r="G11" s="138" t="s">
        <v>10</v>
      </c>
      <c r="H11" s="101">
        <v>1.9392702728509899E-2</v>
      </c>
      <c r="I11" s="102">
        <v>4</v>
      </c>
      <c r="J11" s="105">
        <v>1</v>
      </c>
      <c r="L11" s="115" t="s">
        <v>164</v>
      </c>
      <c r="M11" s="110">
        <v>0.117670046165585</v>
      </c>
      <c r="N11" s="93">
        <v>48</v>
      </c>
      <c r="O11" s="116">
        <v>1</v>
      </c>
    </row>
    <row r="12" spans="1:15" x14ac:dyDescent="0.2">
      <c r="G12" s="138" t="s">
        <v>11</v>
      </c>
      <c r="H12" s="101">
        <v>17531.021437134499</v>
      </c>
      <c r="I12" s="102">
        <v>9605411</v>
      </c>
      <c r="J12" s="105">
        <v>6</v>
      </c>
      <c r="L12" s="115" t="s">
        <v>65</v>
      </c>
      <c r="M12" s="110">
        <v>0.45968742296099602</v>
      </c>
      <c r="N12" s="93">
        <v>19</v>
      </c>
      <c r="O12" s="116">
        <v>3</v>
      </c>
    </row>
    <row r="13" spans="1:15" x14ac:dyDescent="0.2">
      <c r="G13" s="138" t="s">
        <v>12</v>
      </c>
      <c r="H13" s="101">
        <v>59.947508508339503</v>
      </c>
      <c r="I13" s="102">
        <v>3749</v>
      </c>
      <c r="J13" s="105">
        <v>11</v>
      </c>
      <c r="L13" s="115" t="s">
        <v>181</v>
      </c>
      <c r="M13" s="110">
        <v>9.1930897906422598E-3</v>
      </c>
      <c r="N13" s="93">
        <v>8</v>
      </c>
      <c r="O13" s="116">
        <v>1</v>
      </c>
    </row>
    <row r="14" spans="1:15" ht="22" customHeight="1" x14ac:dyDescent="0.2">
      <c r="B14" s="264" t="s">
        <v>21</v>
      </c>
      <c r="C14" s="264"/>
      <c r="D14" s="264"/>
      <c r="E14" s="264"/>
      <c r="G14" s="138" t="s">
        <v>13</v>
      </c>
      <c r="H14" s="101">
        <v>43341.525997269797</v>
      </c>
      <c r="I14" s="102">
        <v>225218</v>
      </c>
      <c r="J14" s="105">
        <v>62</v>
      </c>
      <c r="L14" s="115" t="s">
        <v>108</v>
      </c>
      <c r="M14" s="110">
        <v>1.6642784429713999</v>
      </c>
      <c r="N14" s="93">
        <v>738</v>
      </c>
      <c r="O14" s="116">
        <v>8</v>
      </c>
    </row>
    <row r="15" spans="1:15" ht="25" customHeight="1" x14ac:dyDescent="0.2">
      <c r="B15" s="264"/>
      <c r="C15" s="264"/>
      <c r="D15" s="264"/>
      <c r="E15" s="264"/>
      <c r="G15" s="138" t="s">
        <v>14</v>
      </c>
      <c r="H15" s="101">
        <v>10658.5114502534</v>
      </c>
      <c r="I15" s="102">
        <v>3284399</v>
      </c>
      <c r="J15" s="105">
        <v>12</v>
      </c>
      <c r="L15" s="115" t="s">
        <v>66</v>
      </c>
      <c r="M15" s="110">
        <v>0.25653456430882199</v>
      </c>
      <c r="N15" s="93">
        <v>136</v>
      </c>
      <c r="O15" s="116">
        <v>8</v>
      </c>
    </row>
    <row r="16" spans="1:15" ht="23" x14ac:dyDescent="0.2">
      <c r="C16" s="132" t="s">
        <v>179</v>
      </c>
      <c r="F16" s="91"/>
      <c r="G16" s="138" t="s">
        <v>15</v>
      </c>
      <c r="H16" s="101">
        <v>1965.7273964220601</v>
      </c>
      <c r="I16" s="102">
        <v>302137</v>
      </c>
      <c r="J16" s="105">
        <v>8</v>
      </c>
      <c r="L16" s="115" t="s">
        <v>67</v>
      </c>
      <c r="M16" s="110">
        <v>4422.8793729217696</v>
      </c>
      <c r="N16" s="93">
        <v>686758</v>
      </c>
      <c r="O16" s="116">
        <v>22</v>
      </c>
    </row>
    <row r="17" spans="2:15" ht="24" thickBot="1" x14ac:dyDescent="0.25">
      <c r="F17" s="1"/>
      <c r="G17" s="138" t="s">
        <v>16</v>
      </c>
      <c r="H17" s="101">
        <v>129.721210660412</v>
      </c>
      <c r="I17" s="102">
        <v>13656</v>
      </c>
      <c r="J17" s="105">
        <v>32</v>
      </c>
      <c r="L17" s="115" t="s">
        <v>109</v>
      </c>
      <c r="M17" s="110">
        <v>3.3419837243854902E-2</v>
      </c>
      <c r="N17" s="93">
        <v>34</v>
      </c>
      <c r="O17" s="116">
        <v>1</v>
      </c>
    </row>
    <row r="18" spans="2:15" ht="17" thickBot="1" x14ac:dyDescent="0.25">
      <c r="B18" s="16" t="s">
        <v>51</v>
      </c>
      <c r="C18" s="122" t="s">
        <v>144</v>
      </c>
      <c r="D18" s="120" t="s">
        <v>145</v>
      </c>
      <c r="E18" s="121" t="s">
        <v>146</v>
      </c>
      <c r="G18" s="138" t="s">
        <v>17</v>
      </c>
      <c r="H18" s="101">
        <v>15562.971069809901</v>
      </c>
      <c r="I18" s="102">
        <v>6090771</v>
      </c>
      <c r="J18" s="105">
        <v>82</v>
      </c>
      <c r="L18" s="115" t="s">
        <v>170</v>
      </c>
      <c r="M18" s="110">
        <v>0.313408393412828</v>
      </c>
      <c r="N18" s="93">
        <v>113</v>
      </c>
      <c r="O18" s="116">
        <v>1</v>
      </c>
    </row>
    <row r="19" spans="2:15" x14ac:dyDescent="0.2">
      <c r="B19" s="139" t="s">
        <v>22</v>
      </c>
      <c r="C19" s="140">
        <v>2009714.0032256625</v>
      </c>
      <c r="D19" s="136">
        <v>415702783</v>
      </c>
      <c r="E19" s="137">
        <v>675</v>
      </c>
      <c r="G19" s="138" t="s">
        <v>18</v>
      </c>
      <c r="H19" s="101">
        <v>1103.6332211736501</v>
      </c>
      <c r="I19" s="102">
        <v>683524</v>
      </c>
      <c r="J19" s="105">
        <v>664</v>
      </c>
      <c r="L19" s="115" t="s">
        <v>170</v>
      </c>
      <c r="M19" s="110">
        <v>1.0448163375258401E-2</v>
      </c>
      <c r="N19" s="93">
        <v>10</v>
      </c>
      <c r="O19" s="116">
        <v>1</v>
      </c>
    </row>
    <row r="20" spans="2:15" x14ac:dyDescent="0.2">
      <c r="B20" s="141" t="s">
        <v>23</v>
      </c>
      <c r="C20" s="142">
        <v>36682.005954528104</v>
      </c>
      <c r="D20" s="102">
        <v>24556506</v>
      </c>
      <c r="E20" s="105">
        <v>29</v>
      </c>
      <c r="G20" s="138" t="s">
        <v>120</v>
      </c>
      <c r="H20" s="101">
        <v>2052458.3158929199</v>
      </c>
      <c r="I20" s="102">
        <v>429237912</v>
      </c>
      <c r="J20" s="105">
        <v>74</v>
      </c>
      <c r="L20" s="115" t="s">
        <v>165</v>
      </c>
      <c r="M20" s="110">
        <v>2.6541960425674901E-2</v>
      </c>
      <c r="N20" s="93">
        <v>30</v>
      </c>
      <c r="O20" s="116">
        <v>1</v>
      </c>
    </row>
    <row r="21" spans="2:15" x14ac:dyDescent="0.2">
      <c r="B21" s="141" t="s">
        <v>24</v>
      </c>
      <c r="C21" s="142">
        <v>80768.131102842162</v>
      </c>
      <c r="D21" s="102">
        <v>6458755</v>
      </c>
      <c r="E21" s="105">
        <v>75</v>
      </c>
      <c r="G21" s="138" t="s">
        <v>19</v>
      </c>
      <c r="H21" s="101">
        <v>79.825534481555195</v>
      </c>
      <c r="I21" s="102">
        <v>1837</v>
      </c>
      <c r="J21" s="105">
        <v>3</v>
      </c>
      <c r="L21" s="115" t="s">
        <v>154</v>
      </c>
      <c r="M21" s="110">
        <v>3.6015878431498997E-2</v>
      </c>
      <c r="N21" s="93">
        <v>92</v>
      </c>
      <c r="O21" s="116">
        <v>2</v>
      </c>
    </row>
    <row r="22" spans="2:15" x14ac:dyDescent="0.2">
      <c r="B22" s="141" t="s">
        <v>25</v>
      </c>
      <c r="C22" s="142">
        <v>16834.556122233134</v>
      </c>
      <c r="D22" s="102">
        <v>4343244</v>
      </c>
      <c r="E22" s="105">
        <v>50</v>
      </c>
      <c r="G22" s="138" t="s">
        <v>153</v>
      </c>
      <c r="H22" s="101">
        <v>2.5839007459580801E-2</v>
      </c>
      <c r="I22" s="102">
        <v>22</v>
      </c>
      <c r="J22" s="105">
        <v>2</v>
      </c>
      <c r="L22" s="115" t="s">
        <v>68</v>
      </c>
      <c r="M22" s="110">
        <v>1096.7919167550201</v>
      </c>
      <c r="N22" s="93">
        <v>117456</v>
      </c>
      <c r="O22" s="116">
        <v>56</v>
      </c>
    </row>
    <row r="23" spans="2:15" x14ac:dyDescent="0.2">
      <c r="B23" s="141" t="s">
        <v>26</v>
      </c>
      <c r="C23" s="142">
        <v>18.876789620146056</v>
      </c>
      <c r="D23" s="102">
        <v>2682</v>
      </c>
      <c r="E23" s="105">
        <v>5</v>
      </c>
      <c r="G23" s="138" t="s">
        <v>20</v>
      </c>
      <c r="H23" s="101">
        <v>20.616143681108898</v>
      </c>
      <c r="I23" s="102">
        <v>258</v>
      </c>
      <c r="J23" s="105">
        <v>4</v>
      </c>
      <c r="L23" s="115" t="s">
        <v>69</v>
      </c>
      <c r="M23" s="110">
        <v>0.45208643004298199</v>
      </c>
      <c r="N23" s="93">
        <v>576</v>
      </c>
      <c r="O23" s="116">
        <v>6</v>
      </c>
    </row>
    <row r="24" spans="2:15" ht="17" thickBot="1" x14ac:dyDescent="0.25">
      <c r="B24" s="143" t="s">
        <v>27</v>
      </c>
      <c r="C24" s="144">
        <v>496.01453534513672</v>
      </c>
      <c r="D24" s="104">
        <v>108600</v>
      </c>
      <c r="E24" s="106">
        <v>199</v>
      </c>
      <c r="G24" s="138" t="s">
        <v>169</v>
      </c>
      <c r="H24" s="101">
        <v>0.227019097656011</v>
      </c>
      <c r="I24" s="102">
        <v>34</v>
      </c>
      <c r="J24" s="105">
        <v>1</v>
      </c>
      <c r="L24" s="115" t="s">
        <v>70</v>
      </c>
      <c r="M24" s="110">
        <v>12748.940239347499</v>
      </c>
      <c r="N24" s="93">
        <v>9601795</v>
      </c>
      <c r="O24" s="116">
        <v>44</v>
      </c>
    </row>
    <row r="25" spans="2:15" ht="17" thickBot="1" x14ac:dyDescent="0.25">
      <c r="B25" s="97" t="s">
        <v>4</v>
      </c>
      <c r="C25" s="96">
        <f>SUM(C19:C24)</f>
        <v>2144513.5877302312</v>
      </c>
      <c r="D25" s="94">
        <f>SUM(D19:D24)</f>
        <v>451172570</v>
      </c>
      <c r="E25" s="95">
        <f>SUM(E19:E24)</f>
        <v>1033</v>
      </c>
      <c r="G25" s="145" t="s">
        <v>4</v>
      </c>
      <c r="H25" s="146">
        <f>SUM(H7:H24)</f>
        <v>2144513.5877302377</v>
      </c>
      <c r="I25" s="147">
        <f>SUM(I7:I24)</f>
        <v>451172570</v>
      </c>
      <c r="J25" s="148">
        <f>SUM(J7:J24)</f>
        <v>984</v>
      </c>
      <c r="L25" s="115" t="s">
        <v>71</v>
      </c>
      <c r="M25" s="110">
        <v>1.1730184089392399</v>
      </c>
      <c r="N25" s="93">
        <v>1096</v>
      </c>
      <c r="O25" s="116">
        <v>28</v>
      </c>
    </row>
    <row r="26" spans="2:15" x14ac:dyDescent="0.2">
      <c r="L26" s="115" t="s">
        <v>182</v>
      </c>
      <c r="M26" s="110">
        <v>8.7872687727212906E-2</v>
      </c>
      <c r="N26" s="93">
        <v>88</v>
      </c>
      <c r="O26" s="116">
        <v>11</v>
      </c>
    </row>
    <row r="27" spans="2:15" x14ac:dyDescent="0.2">
      <c r="L27" s="115" t="s">
        <v>107</v>
      </c>
      <c r="M27" s="110">
        <v>55.096159432083297</v>
      </c>
      <c r="N27" s="93">
        <v>613</v>
      </c>
      <c r="O27" s="116">
        <v>9</v>
      </c>
    </row>
    <row r="28" spans="2:15" x14ac:dyDescent="0.2">
      <c r="L28" s="115" t="s">
        <v>72</v>
      </c>
      <c r="M28" s="110">
        <v>0.14127181749790901</v>
      </c>
      <c r="N28" s="93">
        <v>266</v>
      </c>
      <c r="O28" s="116">
        <v>7</v>
      </c>
    </row>
    <row r="29" spans="2:15" x14ac:dyDescent="0.2">
      <c r="L29" s="115" t="s">
        <v>73</v>
      </c>
      <c r="M29" s="110">
        <v>0.16573205217719</v>
      </c>
      <c r="N29" s="93">
        <v>92</v>
      </c>
      <c r="O29" s="116">
        <v>5</v>
      </c>
    </row>
    <row r="30" spans="2:15" x14ac:dyDescent="0.2">
      <c r="L30" s="115" t="s">
        <v>74</v>
      </c>
      <c r="M30" s="110">
        <v>6.9881115108728395E-2</v>
      </c>
      <c r="N30" s="93">
        <v>312</v>
      </c>
      <c r="O30" s="116">
        <v>6</v>
      </c>
    </row>
    <row r="31" spans="2:15" x14ac:dyDescent="0.2">
      <c r="L31" s="115" t="s">
        <v>166</v>
      </c>
      <c r="M31" s="110">
        <v>0.23780686128884501</v>
      </c>
      <c r="N31" s="93">
        <v>78</v>
      </c>
      <c r="O31" s="116">
        <v>3</v>
      </c>
    </row>
    <row r="32" spans="2:15" x14ac:dyDescent="0.2">
      <c r="L32" s="115" t="s">
        <v>75</v>
      </c>
      <c r="M32" s="110">
        <v>151.24629157874699</v>
      </c>
      <c r="N32" s="93">
        <v>690684</v>
      </c>
      <c r="O32" s="116">
        <v>12</v>
      </c>
    </row>
    <row r="33" spans="12:15" x14ac:dyDescent="0.2">
      <c r="L33" s="115" t="s">
        <v>76</v>
      </c>
      <c r="M33" s="110">
        <v>3.5701909912750098</v>
      </c>
      <c r="N33" s="93">
        <v>3014</v>
      </c>
      <c r="O33" s="116">
        <v>24</v>
      </c>
    </row>
    <row r="34" spans="12:15" x14ac:dyDescent="0.2">
      <c r="L34" s="115" t="s">
        <v>183</v>
      </c>
      <c r="M34" s="110">
        <v>6.7844642326235702E-2</v>
      </c>
      <c r="N34" s="93">
        <v>101</v>
      </c>
      <c r="O34" s="116">
        <v>1</v>
      </c>
    </row>
    <row r="35" spans="12:15" x14ac:dyDescent="0.2">
      <c r="L35" s="115" t="s">
        <v>77</v>
      </c>
      <c r="M35" s="110">
        <v>1.7259147018194101E-2</v>
      </c>
      <c r="N35" s="93">
        <v>10</v>
      </c>
      <c r="O35" s="116">
        <v>3</v>
      </c>
    </row>
    <row r="36" spans="12:15" x14ac:dyDescent="0.2">
      <c r="L36" s="115" t="s">
        <v>78</v>
      </c>
      <c r="M36" s="110">
        <v>8.6381267756223592E-3</v>
      </c>
      <c r="N36" s="93">
        <v>9</v>
      </c>
      <c r="O36" s="116">
        <v>1</v>
      </c>
    </row>
    <row r="37" spans="12:15" x14ac:dyDescent="0.2">
      <c r="L37" s="115" t="s">
        <v>171</v>
      </c>
      <c r="M37" s="110">
        <v>7.8944023698568301E-4</v>
      </c>
      <c r="N37" s="93">
        <v>2</v>
      </c>
      <c r="O37" s="116">
        <v>1</v>
      </c>
    </row>
    <row r="38" spans="12:15" x14ac:dyDescent="0.2">
      <c r="L38" s="115" t="s">
        <v>184</v>
      </c>
      <c r="M38" s="110">
        <v>5.7197175920009599E-5</v>
      </c>
      <c r="N38" s="93">
        <v>1</v>
      </c>
      <c r="O38" s="116">
        <v>1</v>
      </c>
    </row>
    <row r="39" spans="12:15" x14ac:dyDescent="0.2">
      <c r="L39" s="115" t="s">
        <v>54</v>
      </c>
      <c r="M39" s="110">
        <v>2.24640515167266</v>
      </c>
      <c r="N39" s="93">
        <v>1769</v>
      </c>
      <c r="O39" s="116">
        <v>15</v>
      </c>
    </row>
    <row r="40" spans="12:15" x14ac:dyDescent="0.2">
      <c r="L40" s="115" t="s">
        <v>167</v>
      </c>
      <c r="M40" s="110">
        <v>9.6560706384479902E-2</v>
      </c>
      <c r="N40" s="93">
        <v>54</v>
      </c>
      <c r="O40" s="116">
        <v>3</v>
      </c>
    </row>
    <row r="41" spans="12:15" x14ac:dyDescent="0.2">
      <c r="L41" s="115" t="s">
        <v>79</v>
      </c>
      <c r="M41" s="110">
        <v>135.05187714379201</v>
      </c>
      <c r="N41" s="93">
        <v>9603</v>
      </c>
      <c r="O41" s="116">
        <v>41</v>
      </c>
    </row>
    <row r="42" spans="12:15" x14ac:dyDescent="0.2">
      <c r="L42" s="115" t="s">
        <v>80</v>
      </c>
      <c r="M42" s="110">
        <v>462.21332645416197</v>
      </c>
      <c r="N42" s="93">
        <v>1484</v>
      </c>
      <c r="O42" s="116">
        <v>10</v>
      </c>
    </row>
    <row r="43" spans="12:15" x14ac:dyDescent="0.2">
      <c r="L43" s="115" t="s">
        <v>81</v>
      </c>
      <c r="M43" s="110">
        <v>24.6664187731221</v>
      </c>
      <c r="N43" s="93">
        <v>954</v>
      </c>
      <c r="O43" s="116">
        <v>13</v>
      </c>
    </row>
    <row r="44" spans="12:15" x14ac:dyDescent="0.2">
      <c r="L44" s="115" t="s">
        <v>82</v>
      </c>
      <c r="M44" s="110">
        <v>0.38087584264576402</v>
      </c>
      <c r="N44" s="93">
        <v>137</v>
      </c>
      <c r="O44" s="116">
        <v>4</v>
      </c>
    </row>
    <row r="45" spans="12:15" x14ac:dyDescent="0.2">
      <c r="L45" s="115" t="s">
        <v>185</v>
      </c>
      <c r="M45" s="110">
        <v>3.7708290852606199E-2</v>
      </c>
      <c r="N45" s="93">
        <v>45</v>
      </c>
      <c r="O45" s="116">
        <v>2</v>
      </c>
    </row>
    <row r="46" spans="12:15" x14ac:dyDescent="0.2">
      <c r="L46" s="115" t="s">
        <v>83</v>
      </c>
      <c r="M46" s="110">
        <v>54.831261849962097</v>
      </c>
      <c r="N46" s="93">
        <v>9207</v>
      </c>
      <c r="O46" s="116">
        <v>21</v>
      </c>
    </row>
    <row r="47" spans="12:15" x14ac:dyDescent="0.2">
      <c r="L47" s="115" t="s">
        <v>84</v>
      </c>
      <c r="M47" s="110">
        <v>4.1204743403941304</v>
      </c>
      <c r="N47" s="93">
        <v>1776</v>
      </c>
      <c r="O47" s="116">
        <v>14</v>
      </c>
    </row>
    <row r="48" spans="12:15" x14ac:dyDescent="0.2">
      <c r="L48" s="115" t="s">
        <v>110</v>
      </c>
      <c r="M48" s="110">
        <v>0.535597508773207</v>
      </c>
      <c r="N48" s="93">
        <v>192</v>
      </c>
      <c r="O48" s="116">
        <v>3</v>
      </c>
    </row>
    <row r="49" spans="12:15" x14ac:dyDescent="0.2">
      <c r="L49" s="115" t="s">
        <v>111</v>
      </c>
      <c r="M49" s="110">
        <v>0.44772132392972702</v>
      </c>
      <c r="N49" s="93">
        <v>170</v>
      </c>
      <c r="O49" s="116">
        <v>1</v>
      </c>
    </row>
    <row r="50" spans="12:15" x14ac:dyDescent="0.2">
      <c r="L50" s="115" t="s">
        <v>55</v>
      </c>
      <c r="M50" s="110">
        <v>0.230025256983935</v>
      </c>
      <c r="N50" s="93">
        <v>150</v>
      </c>
      <c r="O50" s="116">
        <v>4</v>
      </c>
    </row>
    <row r="51" spans="12:15" x14ac:dyDescent="0.2">
      <c r="L51" s="115" t="s">
        <v>55</v>
      </c>
      <c r="M51" s="110">
        <v>2.6321860030293399E-2</v>
      </c>
      <c r="N51" s="93">
        <v>10</v>
      </c>
      <c r="O51" s="116">
        <v>2</v>
      </c>
    </row>
    <row r="52" spans="12:15" x14ac:dyDescent="0.2">
      <c r="L52" s="115" t="s">
        <v>186</v>
      </c>
      <c r="M52" s="110">
        <v>8.0280620604753408E-3</v>
      </c>
      <c r="N52" s="93">
        <v>1</v>
      </c>
      <c r="O52" s="116">
        <v>1</v>
      </c>
    </row>
    <row r="53" spans="12:15" x14ac:dyDescent="0.2">
      <c r="L53" s="115" t="s">
        <v>187</v>
      </c>
      <c r="M53" s="110">
        <v>7.0337839424610103E-3</v>
      </c>
      <c r="N53" s="93">
        <v>11</v>
      </c>
      <c r="O53" s="116">
        <v>1</v>
      </c>
    </row>
    <row r="54" spans="12:15" x14ac:dyDescent="0.2">
      <c r="L54" s="115" t="s">
        <v>188</v>
      </c>
      <c r="M54" s="110">
        <v>1.6063749035820301</v>
      </c>
      <c r="N54" s="93">
        <v>10256</v>
      </c>
      <c r="O54" s="116">
        <v>1</v>
      </c>
    </row>
    <row r="55" spans="12:15" x14ac:dyDescent="0.2">
      <c r="L55" s="115" t="s">
        <v>85</v>
      </c>
      <c r="M55" s="110">
        <v>0.20833753328770299</v>
      </c>
      <c r="N55" s="93">
        <v>184</v>
      </c>
      <c r="O55" s="116">
        <v>3</v>
      </c>
    </row>
    <row r="56" spans="12:15" x14ac:dyDescent="0.2">
      <c r="L56" s="115" t="s">
        <v>86</v>
      </c>
      <c r="M56" s="110">
        <v>577.09815969318095</v>
      </c>
      <c r="N56" s="93">
        <v>2003</v>
      </c>
      <c r="O56" s="116">
        <v>13</v>
      </c>
    </row>
    <row r="57" spans="12:15" x14ac:dyDescent="0.2">
      <c r="L57" s="115" t="s">
        <v>189</v>
      </c>
      <c r="M57" s="110">
        <v>1.36364828795194E-2</v>
      </c>
      <c r="N57" s="93">
        <v>1</v>
      </c>
      <c r="O57" s="116">
        <v>1</v>
      </c>
    </row>
    <row r="58" spans="12:15" x14ac:dyDescent="0.2">
      <c r="L58" s="115" t="s">
        <v>112</v>
      </c>
      <c r="M58" s="110">
        <v>1.14463213831186E-2</v>
      </c>
      <c r="N58" s="93">
        <v>9</v>
      </c>
      <c r="O58" s="116">
        <v>1</v>
      </c>
    </row>
    <row r="59" spans="12:15" x14ac:dyDescent="0.2">
      <c r="L59" s="115" t="s">
        <v>87</v>
      </c>
      <c r="M59" s="110">
        <v>2.3004716550931299</v>
      </c>
      <c r="N59" s="93">
        <v>154</v>
      </c>
      <c r="O59" s="116">
        <v>8</v>
      </c>
    </row>
    <row r="60" spans="12:15" x14ac:dyDescent="0.2">
      <c r="L60" s="115" t="s">
        <v>172</v>
      </c>
      <c r="M60" s="110">
        <v>608.71169319190005</v>
      </c>
      <c r="N60" s="93">
        <v>172562</v>
      </c>
      <c r="O60" s="116">
        <v>2</v>
      </c>
    </row>
    <row r="61" spans="12:15" x14ac:dyDescent="0.2">
      <c r="L61" s="115" t="s">
        <v>155</v>
      </c>
      <c r="M61" s="110">
        <v>0.112815871834754</v>
      </c>
      <c r="N61" s="93">
        <v>32</v>
      </c>
      <c r="O61" s="116">
        <v>4</v>
      </c>
    </row>
    <row r="62" spans="12:15" x14ac:dyDescent="0.2">
      <c r="L62" s="115" t="s">
        <v>88</v>
      </c>
      <c r="M62" s="110">
        <v>4.1679982095956802E-3</v>
      </c>
      <c r="N62" s="93">
        <v>11</v>
      </c>
      <c r="O62" s="116">
        <v>1</v>
      </c>
    </row>
    <row r="63" spans="12:15" x14ac:dyDescent="0.2">
      <c r="L63" s="115" t="s">
        <v>88</v>
      </c>
      <c r="M63" s="110">
        <v>5592.9406583253203</v>
      </c>
      <c r="N63" s="93">
        <v>369486</v>
      </c>
      <c r="O63" s="116">
        <v>3</v>
      </c>
    </row>
    <row r="64" spans="12:15" x14ac:dyDescent="0.2">
      <c r="L64" s="115" t="s">
        <v>89</v>
      </c>
      <c r="M64" s="110">
        <v>292.05774502921798</v>
      </c>
      <c r="N64" s="93">
        <v>4675</v>
      </c>
      <c r="O64" s="116">
        <v>7</v>
      </c>
    </row>
    <row r="65" spans="12:15" x14ac:dyDescent="0.2">
      <c r="L65" s="115" t="s">
        <v>156</v>
      </c>
      <c r="M65" s="110">
        <v>8.9348210021853395E-3</v>
      </c>
      <c r="N65" s="93">
        <v>14</v>
      </c>
      <c r="O65" s="116">
        <v>1</v>
      </c>
    </row>
    <row r="66" spans="12:15" x14ac:dyDescent="0.2">
      <c r="L66" s="115" t="s">
        <v>190</v>
      </c>
      <c r="M66" s="110">
        <v>1.9976869225502001E-6</v>
      </c>
      <c r="N66" s="93">
        <v>1</v>
      </c>
      <c r="O66" s="116">
        <v>1</v>
      </c>
    </row>
    <row r="67" spans="12:15" x14ac:dyDescent="0.2">
      <c r="L67" s="115" t="s">
        <v>113</v>
      </c>
      <c r="M67" s="110">
        <v>8.5615534335374797E-3</v>
      </c>
      <c r="N67" s="93">
        <v>14</v>
      </c>
      <c r="O67" s="116">
        <v>2</v>
      </c>
    </row>
    <row r="68" spans="12:15" x14ac:dyDescent="0.2">
      <c r="L68" s="115" t="s">
        <v>90</v>
      </c>
      <c r="M68" s="110">
        <v>2.24117204360663</v>
      </c>
      <c r="N68" s="93">
        <v>210</v>
      </c>
      <c r="O68" s="116">
        <v>6</v>
      </c>
    </row>
    <row r="69" spans="12:15" x14ac:dyDescent="0.2">
      <c r="L69" s="115" t="s">
        <v>191</v>
      </c>
      <c r="M69" s="110">
        <v>2.5418869219720301E-2</v>
      </c>
      <c r="N69" s="93">
        <v>62</v>
      </c>
      <c r="O69" s="116">
        <v>1</v>
      </c>
    </row>
    <row r="70" spans="12:15" x14ac:dyDescent="0.2">
      <c r="L70" s="115" t="s">
        <v>91</v>
      </c>
      <c r="M70" s="110">
        <v>2.2891698637977198</v>
      </c>
      <c r="N70" s="93">
        <v>127</v>
      </c>
      <c r="O70" s="116">
        <v>4</v>
      </c>
    </row>
    <row r="71" spans="12:15" x14ac:dyDescent="0.2">
      <c r="L71" s="115" t="s">
        <v>192</v>
      </c>
      <c r="M71" s="110">
        <v>1.7127071507275101E-2</v>
      </c>
      <c r="N71" s="93">
        <v>46</v>
      </c>
      <c r="O71" s="116">
        <v>1</v>
      </c>
    </row>
    <row r="72" spans="12:15" x14ac:dyDescent="0.2">
      <c r="L72" s="115" t="s">
        <v>193</v>
      </c>
      <c r="M72" s="110">
        <v>7.8203482553362794E-3</v>
      </c>
      <c r="N72" s="93">
        <v>8</v>
      </c>
      <c r="O72" s="116">
        <v>1</v>
      </c>
    </row>
    <row r="73" spans="12:15" x14ac:dyDescent="0.2">
      <c r="L73" s="115" t="s">
        <v>168</v>
      </c>
      <c r="M73" s="110">
        <v>3.7997291423380299E-2</v>
      </c>
      <c r="N73" s="93">
        <v>35</v>
      </c>
      <c r="O73" s="116">
        <v>2</v>
      </c>
    </row>
    <row r="74" spans="12:15" x14ac:dyDescent="0.2">
      <c r="L74" s="115" t="s">
        <v>92</v>
      </c>
      <c r="M74" s="110">
        <v>0.712669352069497</v>
      </c>
      <c r="N74" s="93">
        <v>682</v>
      </c>
      <c r="O74" s="116">
        <v>12</v>
      </c>
    </row>
    <row r="75" spans="12:15" x14ac:dyDescent="0.2">
      <c r="L75" s="115" t="s">
        <v>93</v>
      </c>
      <c r="M75" s="110">
        <v>0.38704857509583201</v>
      </c>
      <c r="N75" s="93">
        <v>469</v>
      </c>
      <c r="O75" s="116">
        <v>5</v>
      </c>
    </row>
    <row r="76" spans="12:15" x14ac:dyDescent="0.2">
      <c r="L76" s="115" t="s">
        <v>56</v>
      </c>
      <c r="M76" s="110">
        <v>0.37369643058627799</v>
      </c>
      <c r="N76" s="93">
        <v>191</v>
      </c>
      <c r="O76" s="116">
        <v>3</v>
      </c>
    </row>
    <row r="77" spans="12:15" x14ac:dyDescent="0.2">
      <c r="L77" s="115" t="s">
        <v>114</v>
      </c>
      <c r="M77" s="110">
        <v>0.14074333384633</v>
      </c>
      <c r="N77" s="93">
        <v>18</v>
      </c>
      <c r="O77" s="116">
        <v>2</v>
      </c>
    </row>
    <row r="78" spans="12:15" x14ac:dyDescent="0.2">
      <c r="L78" s="115" t="s">
        <v>115</v>
      </c>
      <c r="M78" s="110">
        <v>0.33680350892245697</v>
      </c>
      <c r="N78" s="93">
        <v>463</v>
      </c>
      <c r="O78" s="116">
        <v>6</v>
      </c>
    </row>
    <row r="79" spans="12:15" x14ac:dyDescent="0.2">
      <c r="L79" s="115" t="s">
        <v>94</v>
      </c>
      <c r="M79" s="110">
        <v>0.64122625440359104</v>
      </c>
      <c r="N79" s="93">
        <v>17</v>
      </c>
      <c r="O79" s="116">
        <v>3</v>
      </c>
    </row>
    <row r="80" spans="12:15" x14ac:dyDescent="0.2">
      <c r="L80" s="115" t="s">
        <v>94</v>
      </c>
      <c r="M80" s="110">
        <v>5.4063136689364903E-2</v>
      </c>
      <c r="N80" s="93">
        <v>95</v>
      </c>
      <c r="O80" s="116">
        <v>3</v>
      </c>
    </row>
    <row r="81" spans="12:15" x14ac:dyDescent="0.2">
      <c r="L81" s="115" t="s">
        <v>95</v>
      </c>
      <c r="M81" s="110">
        <v>5.48587320372462E-2</v>
      </c>
      <c r="N81" s="93">
        <v>118</v>
      </c>
      <c r="O81" s="116">
        <v>5</v>
      </c>
    </row>
    <row r="82" spans="12:15" x14ac:dyDescent="0.2">
      <c r="L82" s="115" t="s">
        <v>194</v>
      </c>
      <c r="M82" s="110">
        <v>0.20916210580617101</v>
      </c>
      <c r="N82" s="93">
        <v>61</v>
      </c>
      <c r="O82" s="116">
        <v>2</v>
      </c>
    </row>
    <row r="83" spans="12:15" x14ac:dyDescent="0.2">
      <c r="L83" s="115" t="s">
        <v>96</v>
      </c>
      <c r="M83" s="110">
        <v>0.23691707570105699</v>
      </c>
      <c r="N83" s="93">
        <v>498</v>
      </c>
      <c r="O83" s="116">
        <v>8</v>
      </c>
    </row>
    <row r="84" spans="12:15" x14ac:dyDescent="0.2">
      <c r="L84" s="115" t="s">
        <v>173</v>
      </c>
      <c r="M84" s="110">
        <v>0.25821026507764999</v>
      </c>
      <c r="N84" s="93">
        <v>62</v>
      </c>
      <c r="O84" s="116">
        <v>1</v>
      </c>
    </row>
    <row r="85" spans="12:15" x14ac:dyDescent="0.2">
      <c r="L85" s="115" t="s">
        <v>195</v>
      </c>
      <c r="M85" s="110">
        <v>2.1002049744129101</v>
      </c>
      <c r="N85" s="93">
        <v>40</v>
      </c>
      <c r="O85" s="116">
        <v>2</v>
      </c>
    </row>
    <row r="86" spans="12:15" x14ac:dyDescent="0.2">
      <c r="L86" s="115" t="s">
        <v>97</v>
      </c>
      <c r="M86" s="110">
        <v>50.579569052904802</v>
      </c>
      <c r="N86" s="93">
        <v>7967</v>
      </c>
      <c r="O86" s="116">
        <v>5</v>
      </c>
    </row>
    <row r="87" spans="12:15" x14ac:dyDescent="0.2">
      <c r="L87" s="115" t="s">
        <v>57</v>
      </c>
      <c r="M87" s="110">
        <v>294.06862643547299</v>
      </c>
      <c r="N87" s="93">
        <v>2576</v>
      </c>
      <c r="O87" s="116">
        <v>15</v>
      </c>
    </row>
    <row r="88" spans="12:15" x14ac:dyDescent="0.2">
      <c r="L88" s="115" t="s">
        <v>116</v>
      </c>
      <c r="M88" s="110">
        <v>7.0339411497116006E-2</v>
      </c>
      <c r="N88" s="93">
        <v>29</v>
      </c>
      <c r="O88" s="116">
        <v>1</v>
      </c>
    </row>
    <row r="89" spans="12:15" x14ac:dyDescent="0.2">
      <c r="L89" s="115" t="s">
        <v>163</v>
      </c>
      <c r="M89" s="110">
        <v>0.30749322101473803</v>
      </c>
      <c r="N89" s="93">
        <v>213</v>
      </c>
      <c r="O89" s="116">
        <v>5</v>
      </c>
    </row>
    <row r="90" spans="12:15" x14ac:dyDescent="0.2">
      <c r="L90" s="115" t="s">
        <v>98</v>
      </c>
      <c r="M90" s="110">
        <v>1982990.1746320699</v>
      </c>
      <c r="N90" s="93">
        <v>403950598</v>
      </c>
      <c r="O90" s="116">
        <v>5</v>
      </c>
    </row>
    <row r="91" spans="12:15" x14ac:dyDescent="0.2">
      <c r="L91" s="115" t="s">
        <v>117</v>
      </c>
      <c r="M91" s="110">
        <v>0.75951057206839301</v>
      </c>
      <c r="N91" s="93">
        <v>117</v>
      </c>
      <c r="O91" s="116">
        <v>4</v>
      </c>
    </row>
    <row r="92" spans="12:15" x14ac:dyDescent="0.2">
      <c r="L92" s="115" t="s">
        <v>99</v>
      </c>
      <c r="M92" s="110">
        <v>3.9415057254955101</v>
      </c>
      <c r="N92" s="93">
        <v>905</v>
      </c>
      <c r="O92" s="116">
        <v>6</v>
      </c>
    </row>
    <row r="93" spans="12:15" x14ac:dyDescent="0.2">
      <c r="L93" s="115" t="s">
        <v>196</v>
      </c>
      <c r="M93" s="110">
        <v>5.3231790661811796E-4</v>
      </c>
      <c r="N93" s="93">
        <v>5</v>
      </c>
      <c r="O93" s="116">
        <v>1</v>
      </c>
    </row>
    <row r="94" spans="12:15" x14ac:dyDescent="0.2">
      <c r="L94" s="115" t="s">
        <v>197</v>
      </c>
      <c r="M94" s="110">
        <v>1.5573224052786799E-2</v>
      </c>
      <c r="N94" s="93">
        <v>14</v>
      </c>
      <c r="O94" s="116">
        <v>2</v>
      </c>
    </row>
    <row r="95" spans="12:15" x14ac:dyDescent="0.2">
      <c r="L95" s="115" t="s">
        <v>118</v>
      </c>
      <c r="M95" s="110">
        <v>8.8956263847649E-2</v>
      </c>
      <c r="N95" s="93">
        <v>212</v>
      </c>
      <c r="O95" s="116">
        <v>6</v>
      </c>
    </row>
    <row r="96" spans="12:15" x14ac:dyDescent="0.2">
      <c r="L96" s="115" t="s">
        <v>100</v>
      </c>
      <c r="M96" s="110">
        <v>6.5586464479565603E-3</v>
      </c>
      <c r="N96" s="93">
        <v>3</v>
      </c>
      <c r="O96" s="116">
        <v>1</v>
      </c>
    </row>
    <row r="97" spans="12:15" x14ac:dyDescent="0.2">
      <c r="L97" s="115" t="s">
        <v>101</v>
      </c>
      <c r="M97" s="110">
        <v>69.965269068256006</v>
      </c>
      <c r="N97" s="93">
        <v>2051</v>
      </c>
      <c r="O97" s="116">
        <v>3</v>
      </c>
    </row>
    <row r="98" spans="12:15" x14ac:dyDescent="0.2">
      <c r="L98" s="115" t="s">
        <v>101</v>
      </c>
      <c r="M98" s="110">
        <v>0.45300699211656997</v>
      </c>
      <c r="N98" s="93">
        <v>458</v>
      </c>
      <c r="O98" s="116">
        <v>13</v>
      </c>
    </row>
    <row r="99" spans="12:15" x14ac:dyDescent="0.2">
      <c r="L99" s="115" t="s">
        <v>102</v>
      </c>
      <c r="M99" s="110">
        <v>0.12409855704754499</v>
      </c>
      <c r="N99" s="93">
        <v>223</v>
      </c>
      <c r="O99" s="116">
        <v>9</v>
      </c>
    </row>
    <row r="100" spans="12:15" x14ac:dyDescent="0.2">
      <c r="L100" s="115" t="s">
        <v>103</v>
      </c>
      <c r="M100" s="110">
        <v>2.12307460606098E-2</v>
      </c>
      <c r="N100" s="93">
        <v>93</v>
      </c>
      <c r="O100" s="116">
        <v>3</v>
      </c>
    </row>
    <row r="101" spans="12:15" x14ac:dyDescent="0.2">
      <c r="L101" s="115" t="s">
        <v>58</v>
      </c>
      <c r="M101" s="110">
        <v>6.3454896742478004</v>
      </c>
      <c r="N101" s="93">
        <v>1513</v>
      </c>
      <c r="O101" s="116">
        <v>18</v>
      </c>
    </row>
    <row r="102" spans="12:15" x14ac:dyDescent="0.2">
      <c r="L102" s="115" t="s">
        <v>59</v>
      </c>
      <c r="M102" s="110">
        <v>134799.58450456799</v>
      </c>
      <c r="N102" s="93">
        <v>35469787</v>
      </c>
      <c r="O102" s="116">
        <v>329</v>
      </c>
    </row>
    <row r="103" spans="12:15" x14ac:dyDescent="0.2">
      <c r="L103" s="115" t="s">
        <v>60</v>
      </c>
      <c r="M103" s="110">
        <v>12.5161091061308</v>
      </c>
      <c r="N103" s="93">
        <v>2370</v>
      </c>
      <c r="O103" s="116">
        <v>2</v>
      </c>
    </row>
    <row r="104" spans="12:15" x14ac:dyDescent="0.2">
      <c r="L104" s="115" t="s">
        <v>157</v>
      </c>
      <c r="M104" s="110">
        <v>0.49420638009905798</v>
      </c>
      <c r="N104" s="93">
        <v>229</v>
      </c>
      <c r="O104" s="116">
        <v>2</v>
      </c>
    </row>
    <row r="105" spans="12:15" x14ac:dyDescent="0.2">
      <c r="L105" s="115" t="s">
        <v>104</v>
      </c>
      <c r="M105" s="110">
        <v>3.5110300406813601E-2</v>
      </c>
      <c r="N105" s="93">
        <v>72</v>
      </c>
      <c r="O105" s="116">
        <v>3</v>
      </c>
    </row>
    <row r="106" spans="12:15" x14ac:dyDescent="0.2">
      <c r="L106" s="115" t="s">
        <v>105</v>
      </c>
      <c r="M106" s="110">
        <v>2.5534164160489998E-4</v>
      </c>
      <c r="N106" s="93">
        <v>1</v>
      </c>
      <c r="O106" s="116">
        <v>1</v>
      </c>
    </row>
    <row r="107" spans="12:15" ht="17" thickBot="1" x14ac:dyDescent="0.25">
      <c r="L107" s="126" t="s">
        <v>106</v>
      </c>
      <c r="M107" s="127">
        <v>3.4093552269041497E-2</v>
      </c>
      <c r="N107" s="128">
        <v>14</v>
      </c>
      <c r="O107" s="129">
        <v>2</v>
      </c>
    </row>
    <row r="108" spans="12:15" ht="17" thickBot="1" x14ac:dyDescent="0.25">
      <c r="L108" s="130" t="s">
        <v>4</v>
      </c>
      <c r="M108" s="131">
        <f>SUM(M7:M107)</f>
        <v>2144513.5877302308</v>
      </c>
      <c r="N108" s="117">
        <f>SUM(N7:N107)</f>
        <v>451172570</v>
      </c>
      <c r="O108" s="118">
        <f>SUM(M108:N108)</f>
        <v>453317083.58773023</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4"/>
  <sheetViews>
    <sheetView zoomScale="118" zoomScaleNormal="100" workbookViewId="0"/>
  </sheetViews>
  <sheetFormatPr baseColWidth="10" defaultRowHeight="16" x14ac:dyDescent="0.2"/>
  <cols>
    <col min="2" max="2" width="18" customWidth="1"/>
    <col min="3" max="3" width="37.28515625" style="9" bestFit="1" customWidth="1"/>
    <col min="4" max="4" width="40.85546875" style="9" customWidth="1"/>
    <col min="5" max="5" width="16.28515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69" t="s">
        <v>0</v>
      </c>
      <c r="C3" s="269"/>
      <c r="D3" s="269"/>
      <c r="E3" s="269"/>
      <c r="F3" s="269"/>
      <c r="G3" s="269"/>
      <c r="H3" s="90"/>
      <c r="I3" s="90"/>
      <c r="J3" s="90"/>
      <c r="K3" s="90"/>
      <c r="L3" s="90"/>
      <c r="M3" s="90"/>
      <c r="N3" s="90"/>
      <c r="O3" s="90"/>
    </row>
    <row r="4" spans="2:15" ht="18" x14ac:dyDescent="0.2">
      <c r="B4" s="270" t="s">
        <v>179</v>
      </c>
      <c r="C4" s="270"/>
      <c r="D4" s="270"/>
      <c r="E4" s="270"/>
      <c r="F4" s="270"/>
      <c r="G4" s="270"/>
    </row>
    <row r="5" spans="2:15" ht="17" thickBot="1" x14ac:dyDescent="0.25">
      <c r="B5" s="8"/>
      <c r="C5" s="6"/>
      <c r="D5" s="19"/>
    </row>
    <row r="6" spans="2:15" s="133" customFormat="1" ht="20" thickBot="1" x14ac:dyDescent="0.25">
      <c r="B6" s="149" t="s">
        <v>28</v>
      </c>
      <c r="C6" s="150" t="s">
        <v>29</v>
      </c>
      <c r="D6" s="151" t="s">
        <v>30</v>
      </c>
      <c r="E6" s="150" t="s">
        <v>144</v>
      </c>
      <c r="F6" s="150" t="s">
        <v>145</v>
      </c>
      <c r="G6" s="150" t="s">
        <v>146</v>
      </c>
      <c r="K6" s="152"/>
      <c r="L6" s="152"/>
    </row>
    <row r="7" spans="2:15" ht="52" thickBot="1" x14ac:dyDescent="0.25">
      <c r="B7" s="266" t="s">
        <v>1</v>
      </c>
      <c r="C7" s="157" t="s">
        <v>31</v>
      </c>
      <c r="D7" s="161" t="s">
        <v>32</v>
      </c>
      <c r="E7" s="163">
        <v>2.74891965091228E-4</v>
      </c>
      <c r="F7" s="153">
        <v>1</v>
      </c>
      <c r="G7" s="154">
        <v>1</v>
      </c>
    </row>
    <row r="8" spans="2:15" ht="35" thickBot="1" x14ac:dyDescent="0.25">
      <c r="B8" s="266"/>
      <c r="C8" s="158" t="s">
        <v>33</v>
      </c>
      <c r="D8" s="165" t="s">
        <v>34</v>
      </c>
      <c r="E8" s="160">
        <v>783609.01109381858</v>
      </c>
      <c r="F8" s="155">
        <v>14884381</v>
      </c>
      <c r="G8" s="156">
        <v>125</v>
      </c>
    </row>
    <row r="9" spans="2:15" ht="52" thickBot="1" x14ac:dyDescent="0.25">
      <c r="B9" s="266"/>
      <c r="C9" s="158" t="s">
        <v>35</v>
      </c>
      <c r="D9" s="164" t="s">
        <v>36</v>
      </c>
      <c r="E9" s="160">
        <v>408.17529076337701</v>
      </c>
      <c r="F9" s="155">
        <v>3078</v>
      </c>
      <c r="G9" s="156">
        <v>16</v>
      </c>
    </row>
    <row r="10" spans="2:15" ht="52" thickBot="1" x14ac:dyDescent="0.25">
      <c r="B10" s="266"/>
      <c r="C10" s="158" t="s">
        <v>37</v>
      </c>
      <c r="D10" s="164" t="s">
        <v>38</v>
      </c>
      <c r="E10" s="160">
        <v>9.2783179134130409E-3</v>
      </c>
      <c r="F10" s="155">
        <v>1</v>
      </c>
      <c r="G10" s="156">
        <v>1</v>
      </c>
    </row>
    <row r="11" spans="2:15" ht="52" thickBot="1" x14ac:dyDescent="0.25">
      <c r="B11" s="266"/>
      <c r="C11" s="158" t="s">
        <v>39</v>
      </c>
      <c r="D11" s="164" t="s">
        <v>40</v>
      </c>
      <c r="E11" s="160">
        <v>1256502.849535573</v>
      </c>
      <c r="F11" s="155">
        <v>397109123</v>
      </c>
      <c r="G11" s="156">
        <v>583</v>
      </c>
    </row>
    <row r="12" spans="2:15" ht="52" thickBot="1" x14ac:dyDescent="0.25">
      <c r="B12" s="266"/>
      <c r="C12" s="158" t="s">
        <v>41</v>
      </c>
      <c r="D12" s="164" t="s">
        <v>42</v>
      </c>
      <c r="E12" s="160">
        <v>62.702269048429962</v>
      </c>
      <c r="F12" s="155">
        <v>11690</v>
      </c>
      <c r="G12" s="156">
        <v>37</v>
      </c>
    </row>
    <row r="13" spans="2:15" ht="35" thickBot="1" x14ac:dyDescent="0.25">
      <c r="B13" s="266"/>
      <c r="C13" s="158" t="s">
        <v>139</v>
      </c>
      <c r="D13" s="164" t="s">
        <v>140</v>
      </c>
      <c r="E13" s="160">
        <v>21044.885569944945</v>
      </c>
      <c r="F13" s="155">
        <v>146606</v>
      </c>
      <c r="G13" s="156">
        <v>186</v>
      </c>
    </row>
    <row r="14" spans="2:15" ht="35" thickBot="1" x14ac:dyDescent="0.25">
      <c r="B14" s="266"/>
      <c r="C14" s="158" t="s">
        <v>174</v>
      </c>
      <c r="D14" s="164" t="s">
        <v>176</v>
      </c>
      <c r="E14" s="160">
        <v>1.2329200282692901E-2</v>
      </c>
      <c r="F14" s="155">
        <v>264</v>
      </c>
      <c r="G14" s="156">
        <v>2</v>
      </c>
    </row>
    <row r="15" spans="2:15" ht="35" thickBot="1" x14ac:dyDescent="0.25">
      <c r="B15" s="266"/>
      <c r="C15" s="159" t="s">
        <v>142</v>
      </c>
      <c r="D15" s="162" t="s">
        <v>143</v>
      </c>
      <c r="E15" s="171">
        <v>38564.353605642827</v>
      </c>
      <c r="F15" s="172">
        <v>18183</v>
      </c>
      <c r="G15" s="173">
        <v>312</v>
      </c>
    </row>
    <row r="16" spans="2:15" ht="35" thickBot="1" x14ac:dyDescent="0.25">
      <c r="B16" s="266" t="s">
        <v>2</v>
      </c>
      <c r="C16" s="157" t="s">
        <v>43</v>
      </c>
      <c r="D16" s="161" t="s">
        <v>44</v>
      </c>
      <c r="E16" s="163">
        <v>14971.80052296909</v>
      </c>
      <c r="F16" s="153">
        <v>15925797</v>
      </c>
      <c r="G16" s="154">
        <v>54</v>
      </c>
    </row>
    <row r="17" spans="2:7" ht="35" thickBot="1" x14ac:dyDescent="0.25">
      <c r="B17" s="266"/>
      <c r="C17" s="159" t="s">
        <v>45</v>
      </c>
      <c r="D17" s="162" t="s">
        <v>46</v>
      </c>
      <c r="E17" s="171">
        <v>5276.6064437469413</v>
      </c>
      <c r="F17" s="172">
        <v>5354883</v>
      </c>
      <c r="G17" s="173">
        <v>22</v>
      </c>
    </row>
    <row r="18" spans="2:7" ht="52" thickBot="1" x14ac:dyDescent="0.25">
      <c r="B18" s="267" t="s">
        <v>3</v>
      </c>
      <c r="C18" s="255" t="s">
        <v>160</v>
      </c>
      <c r="D18" s="256" t="s">
        <v>162</v>
      </c>
      <c r="E18" s="168">
        <v>6.9685796350240601</v>
      </c>
      <c r="F18" s="169">
        <v>4</v>
      </c>
      <c r="G18" s="170">
        <v>2</v>
      </c>
    </row>
    <row r="19" spans="2:7" ht="35" thickBot="1" x14ac:dyDescent="0.25">
      <c r="B19" s="268"/>
      <c r="C19" s="158" t="s">
        <v>158</v>
      </c>
      <c r="D19" s="164" t="s">
        <v>159</v>
      </c>
      <c r="E19" s="168">
        <v>0.17733537498861501</v>
      </c>
      <c r="F19" s="169">
        <v>1</v>
      </c>
      <c r="G19" s="170">
        <v>1</v>
      </c>
    </row>
    <row r="20" spans="2:7" ht="52" thickBot="1" x14ac:dyDescent="0.25">
      <c r="B20" s="266"/>
      <c r="C20" s="166" t="s">
        <v>47</v>
      </c>
      <c r="D20" s="167" t="s">
        <v>48</v>
      </c>
      <c r="E20" s="168">
        <v>105.07520869187999</v>
      </c>
      <c r="F20" s="169">
        <v>50244</v>
      </c>
      <c r="G20" s="170">
        <v>27</v>
      </c>
    </row>
    <row r="21" spans="2:7" ht="35" thickBot="1" x14ac:dyDescent="0.25">
      <c r="B21" s="266"/>
      <c r="C21" s="158" t="s">
        <v>49</v>
      </c>
      <c r="D21" s="164" t="s">
        <v>50</v>
      </c>
      <c r="E21" s="160">
        <v>18168.801940070429</v>
      </c>
      <c r="F21" s="155">
        <v>5680842</v>
      </c>
      <c r="G21" s="156">
        <v>83</v>
      </c>
    </row>
    <row r="22" spans="2:7" ht="35" thickBot="1" x14ac:dyDescent="0.25">
      <c r="B22" s="266"/>
      <c r="C22" s="159" t="s">
        <v>130</v>
      </c>
      <c r="D22" s="162" t="s">
        <v>131</v>
      </c>
      <c r="E22" s="171">
        <v>5792.1584525434282</v>
      </c>
      <c r="F22" s="172">
        <v>11987472</v>
      </c>
      <c r="G22" s="173">
        <v>85</v>
      </c>
    </row>
    <row r="23" spans="2:7" ht="17" thickBot="1" x14ac:dyDescent="0.25">
      <c r="B23" s="46" t="s">
        <v>4</v>
      </c>
      <c r="C23" s="174"/>
      <c r="D23" s="24"/>
      <c r="E23" s="175">
        <f>SUM(E7:E22)</f>
        <v>2144513.5877302331</v>
      </c>
      <c r="F23" s="176">
        <f>SUM(F7:F22)</f>
        <v>451172570</v>
      </c>
      <c r="G23" s="177">
        <f>SUM(G7:G22)</f>
        <v>1537</v>
      </c>
    </row>
    <row r="24" spans="2:7" x14ac:dyDescent="0.2">
      <c r="B24" s="8"/>
      <c r="D24" s="19"/>
    </row>
    <row r="25" spans="2:7" x14ac:dyDescent="0.2">
      <c r="B25" s="8"/>
      <c r="C25" s="6"/>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row r="16382" spans="2:4" x14ac:dyDescent="0.2">
      <c r="B16382" s="8"/>
      <c r="C16382" s="6"/>
      <c r="D16382" s="19"/>
    </row>
    <row r="16383" spans="2:4" x14ac:dyDescent="0.2">
      <c r="B16383" s="8"/>
      <c r="C16383" s="6"/>
      <c r="D16383" s="19"/>
    </row>
    <row r="16384" spans="2:4" x14ac:dyDescent="0.2">
      <c r="B16384" s="8"/>
      <c r="C16384" s="6"/>
      <c r="D16384" s="19"/>
    </row>
  </sheetData>
  <mergeCells count="5">
    <mergeCell ref="B7:B15"/>
    <mergeCell ref="B16:B17"/>
    <mergeCell ref="B18:B22"/>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90"/>
  <sheetViews>
    <sheetView zoomScale="104" zoomScaleNormal="100" workbookViewId="0"/>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4.570312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64" t="s">
        <v>148</v>
      </c>
      <c r="C3" s="264"/>
      <c r="D3" s="264"/>
      <c r="E3" s="264"/>
      <c r="F3" s="264"/>
      <c r="G3" s="264"/>
      <c r="H3" s="91"/>
      <c r="I3" s="91"/>
    </row>
    <row r="4" spans="2:26" ht="18" x14ac:dyDescent="0.2">
      <c r="B4" s="270" t="s">
        <v>179</v>
      </c>
      <c r="C4" s="270"/>
      <c r="D4" s="270"/>
      <c r="E4" s="270"/>
      <c r="F4" s="270"/>
      <c r="G4" s="270"/>
      <c r="H4" s="184"/>
      <c r="I4" s="184"/>
    </row>
    <row r="5" spans="2:26" s="12" customFormat="1" ht="17" thickBot="1" x14ac:dyDescent="0.25">
      <c r="B5" s="10"/>
      <c r="C5" s="11"/>
      <c r="D5" s="7"/>
      <c r="E5" s="182"/>
      <c r="F5" s="183"/>
      <c r="G5" s="183"/>
    </row>
    <row r="6" spans="2:26" s="6" customFormat="1" ht="17" thickBot="1" x14ac:dyDescent="0.25">
      <c r="B6" s="66" t="s">
        <v>51</v>
      </c>
      <c r="C6" s="13" t="s">
        <v>28</v>
      </c>
      <c r="D6" s="21" t="s">
        <v>52</v>
      </c>
      <c r="E6" s="16" t="s">
        <v>144</v>
      </c>
      <c r="F6" s="179" t="s">
        <v>145</v>
      </c>
      <c r="G6" s="179" t="s">
        <v>146</v>
      </c>
    </row>
    <row r="7" spans="2:26" ht="17" thickBot="1" x14ac:dyDescent="0.25">
      <c r="B7" s="14" t="s">
        <v>22</v>
      </c>
      <c r="C7" s="67"/>
      <c r="D7" s="68"/>
      <c r="E7" s="65">
        <v>2009714.0032256646</v>
      </c>
      <c r="F7" s="61">
        <v>415702783</v>
      </c>
      <c r="G7" s="23">
        <v>1011</v>
      </c>
      <c r="Z7" s="9"/>
    </row>
    <row r="8" spans="2:26" x14ac:dyDescent="0.2">
      <c r="B8" s="15"/>
      <c r="C8" s="72" t="s">
        <v>1</v>
      </c>
      <c r="D8" s="73"/>
      <c r="E8" s="85">
        <v>1986245.5696971389</v>
      </c>
      <c r="F8" s="88">
        <v>393475610</v>
      </c>
      <c r="G8" s="25">
        <v>867</v>
      </c>
      <c r="Z8" s="9"/>
    </row>
    <row r="9" spans="2:26" x14ac:dyDescent="0.2">
      <c r="B9" s="15"/>
      <c r="C9" s="74"/>
      <c r="D9" s="178" t="s">
        <v>33</v>
      </c>
      <c r="E9" s="29">
        <v>781839.83497763518</v>
      </c>
      <c r="F9" s="20">
        <v>13223778</v>
      </c>
      <c r="G9" s="22">
        <v>58</v>
      </c>
      <c r="Z9" s="9"/>
    </row>
    <row r="10" spans="2:26" x14ac:dyDescent="0.2">
      <c r="B10" s="15"/>
      <c r="C10" s="74"/>
      <c r="D10" s="178" t="s">
        <v>35</v>
      </c>
      <c r="E10" s="29">
        <v>208.01352258585371</v>
      </c>
      <c r="F10" s="20">
        <v>1629</v>
      </c>
      <c r="G10" s="22">
        <v>6</v>
      </c>
      <c r="Z10" s="9"/>
    </row>
    <row r="11" spans="2:26" x14ac:dyDescent="0.2">
      <c r="B11" s="15"/>
      <c r="C11" s="74"/>
      <c r="D11" s="178" t="s">
        <v>39</v>
      </c>
      <c r="E11" s="29">
        <v>1197922.2090382492</v>
      </c>
      <c r="F11" s="20">
        <v>380165701</v>
      </c>
      <c r="G11" s="22">
        <v>442</v>
      </c>
      <c r="Z11" s="9"/>
    </row>
    <row r="12" spans="2:26" x14ac:dyDescent="0.2">
      <c r="B12" s="15"/>
      <c r="C12" s="74"/>
      <c r="D12" s="178" t="s">
        <v>41</v>
      </c>
      <c r="E12" s="29">
        <v>20.396110187284616</v>
      </c>
      <c r="F12" s="20">
        <v>2556</v>
      </c>
      <c r="G12" s="22">
        <v>25</v>
      </c>
      <c r="Z12" s="9"/>
    </row>
    <row r="13" spans="2:26" x14ac:dyDescent="0.2">
      <c r="B13" s="15"/>
      <c r="C13" s="74"/>
      <c r="D13" s="178" t="s">
        <v>139</v>
      </c>
      <c r="E13" s="29">
        <v>5578.5861905412658</v>
      </c>
      <c r="F13" s="20">
        <v>71036</v>
      </c>
      <c r="G13" s="22">
        <v>80</v>
      </c>
      <c r="Z13" s="9"/>
    </row>
    <row r="14" spans="2:26" x14ac:dyDescent="0.2">
      <c r="B14" s="15"/>
      <c r="C14" s="74"/>
      <c r="D14" s="178" t="s">
        <v>142</v>
      </c>
      <c r="E14" s="29">
        <v>676.52985794003973</v>
      </c>
      <c r="F14" s="20">
        <v>10910</v>
      </c>
      <c r="G14" s="22">
        <v>256</v>
      </c>
      <c r="Z14" s="9"/>
    </row>
    <row r="15" spans="2:26" x14ac:dyDescent="0.2">
      <c r="B15" s="15"/>
      <c r="C15" s="76" t="s">
        <v>2</v>
      </c>
      <c r="D15" s="77"/>
      <c r="E15" s="217">
        <v>20191.386930435874</v>
      </c>
      <c r="F15" s="218">
        <v>20466199</v>
      </c>
      <c r="G15" s="181">
        <v>46</v>
      </c>
      <c r="Z15" s="9"/>
    </row>
    <row r="16" spans="2:26" x14ac:dyDescent="0.2">
      <c r="B16" s="15"/>
      <c r="C16" s="74"/>
      <c r="D16" s="75" t="s">
        <v>43</v>
      </c>
      <c r="E16" s="29">
        <v>14916.105468956739</v>
      </c>
      <c r="F16" s="20">
        <v>15859821</v>
      </c>
      <c r="G16" s="22">
        <v>31</v>
      </c>
      <c r="Z16" s="9"/>
    </row>
    <row r="17" spans="2:26" x14ac:dyDescent="0.2">
      <c r="B17" s="15"/>
      <c r="C17" s="74"/>
      <c r="D17" s="75" t="s">
        <v>45</v>
      </c>
      <c r="E17" s="29">
        <v>5275.2814614791369</v>
      </c>
      <c r="F17" s="20">
        <v>4606378</v>
      </c>
      <c r="G17" s="22">
        <v>15</v>
      </c>
      <c r="Z17" s="9"/>
    </row>
    <row r="18" spans="2:26" x14ac:dyDescent="0.2">
      <c r="B18" s="15"/>
      <c r="C18" s="76" t="s">
        <v>3</v>
      </c>
      <c r="D18" s="77"/>
      <c r="E18" s="217">
        <v>3277.0465980898562</v>
      </c>
      <c r="F18" s="218">
        <v>1760974</v>
      </c>
      <c r="G18" s="181">
        <v>98</v>
      </c>
      <c r="Z18" s="9"/>
    </row>
    <row r="19" spans="2:26" x14ac:dyDescent="0.2">
      <c r="B19" s="15"/>
      <c r="C19" s="74"/>
      <c r="D19" s="75" t="s">
        <v>47</v>
      </c>
      <c r="E19" s="29">
        <v>91.661038648337041</v>
      </c>
      <c r="F19" s="20">
        <v>31609</v>
      </c>
      <c r="G19" s="22">
        <v>9</v>
      </c>
      <c r="Z19" s="9"/>
    </row>
    <row r="20" spans="2:26" x14ac:dyDescent="0.2">
      <c r="B20" s="15"/>
      <c r="C20" s="74"/>
      <c r="D20" s="75" t="s">
        <v>49</v>
      </c>
      <c r="E20" s="29">
        <v>2989.0624350728449</v>
      </c>
      <c r="F20" s="20">
        <v>940677</v>
      </c>
      <c r="G20" s="22">
        <v>38</v>
      </c>
      <c r="Z20" s="9"/>
    </row>
    <row r="21" spans="2:26" ht="17" thickBot="1" x14ac:dyDescent="0.25">
      <c r="B21" s="15"/>
      <c r="C21" s="78"/>
      <c r="D21" s="79" t="s">
        <v>130</v>
      </c>
      <c r="E21" s="30">
        <v>196.3231243686742</v>
      </c>
      <c r="F21" s="70">
        <v>788688</v>
      </c>
      <c r="G21" s="71">
        <v>51</v>
      </c>
      <c r="Z21" s="9"/>
    </row>
    <row r="22" spans="2:26" ht="17" thickBot="1" x14ac:dyDescent="0.25">
      <c r="B22" s="14" t="s">
        <v>23</v>
      </c>
      <c r="C22" s="80"/>
      <c r="D22" s="68"/>
      <c r="E22" s="65">
        <v>36682.005954528111</v>
      </c>
      <c r="F22" s="61">
        <v>24556506</v>
      </c>
      <c r="G22" s="23">
        <v>37</v>
      </c>
      <c r="Z22" s="9"/>
    </row>
    <row r="23" spans="2:26" x14ac:dyDescent="0.2">
      <c r="B23" s="15"/>
      <c r="C23" s="72" t="s">
        <v>1</v>
      </c>
      <c r="D23" s="73"/>
      <c r="E23" s="85">
        <v>16046.381737398837</v>
      </c>
      <c r="F23" s="88">
        <v>8353162</v>
      </c>
      <c r="G23" s="25">
        <v>26</v>
      </c>
      <c r="Z23" s="9"/>
    </row>
    <row r="24" spans="2:26" x14ac:dyDescent="0.2">
      <c r="B24" s="15"/>
      <c r="C24" s="81"/>
      <c r="D24" s="75" t="s">
        <v>33</v>
      </c>
      <c r="E24" s="63">
        <v>214.37328674178477</v>
      </c>
      <c r="F24" s="62">
        <v>1646990</v>
      </c>
      <c r="G24" s="47">
        <v>3</v>
      </c>
      <c r="Z24" s="9"/>
    </row>
    <row r="25" spans="2:26" x14ac:dyDescent="0.2">
      <c r="B25" s="15"/>
      <c r="C25" s="81"/>
      <c r="D25" s="75" t="s">
        <v>39</v>
      </c>
      <c r="E25" s="63">
        <v>15470.033880537299</v>
      </c>
      <c r="F25" s="62">
        <v>6688138</v>
      </c>
      <c r="G25" s="47">
        <v>16</v>
      </c>
      <c r="Z25" s="9"/>
    </row>
    <row r="26" spans="2:26" x14ac:dyDescent="0.2">
      <c r="B26" s="15"/>
      <c r="C26" s="81"/>
      <c r="D26" s="75" t="s">
        <v>41</v>
      </c>
      <c r="E26" s="63">
        <v>1.499551304616028</v>
      </c>
      <c r="F26" s="62">
        <v>3972</v>
      </c>
      <c r="G26" s="47">
        <v>2</v>
      </c>
      <c r="Z26" s="9"/>
    </row>
    <row r="27" spans="2:26" x14ac:dyDescent="0.2">
      <c r="B27" s="15"/>
      <c r="C27" s="81"/>
      <c r="D27" s="75" t="s">
        <v>139</v>
      </c>
      <c r="E27" s="63">
        <v>352.16983489692126</v>
      </c>
      <c r="F27" s="62">
        <v>14058</v>
      </c>
      <c r="G27" s="47">
        <v>4</v>
      </c>
      <c r="Z27" s="9"/>
    </row>
    <row r="28" spans="2:26" x14ac:dyDescent="0.2">
      <c r="B28" s="15"/>
      <c r="C28" s="81"/>
      <c r="D28" s="75" t="s">
        <v>142</v>
      </c>
      <c r="E28" s="63">
        <v>8.3051839182153309</v>
      </c>
      <c r="F28" s="62">
        <v>4</v>
      </c>
      <c r="G28" s="47">
        <v>1</v>
      </c>
      <c r="Z28" s="9"/>
    </row>
    <row r="29" spans="2:26" x14ac:dyDescent="0.2">
      <c r="B29" s="15"/>
      <c r="C29" s="82" t="s">
        <v>2</v>
      </c>
      <c r="D29" s="73"/>
      <c r="E29" s="85">
        <v>1.6807336527854169</v>
      </c>
      <c r="F29" s="88">
        <v>747778</v>
      </c>
      <c r="G29" s="25">
        <v>3</v>
      </c>
      <c r="Z29" s="9"/>
    </row>
    <row r="30" spans="2:26" x14ac:dyDescent="0.2">
      <c r="B30" s="15"/>
      <c r="C30" s="82"/>
      <c r="D30" s="73" t="s">
        <v>43</v>
      </c>
      <c r="E30" s="69">
        <v>0.65676080901175693</v>
      </c>
      <c r="F30" s="87">
        <v>529</v>
      </c>
      <c r="G30" s="26">
        <v>2</v>
      </c>
      <c r="Z30" s="9"/>
    </row>
    <row r="31" spans="2:26" x14ac:dyDescent="0.2">
      <c r="B31" s="15"/>
      <c r="C31" s="81"/>
      <c r="D31" s="75" t="s">
        <v>45</v>
      </c>
      <c r="E31" s="48">
        <v>1.0239728437736599</v>
      </c>
      <c r="F31" s="58">
        <v>747249</v>
      </c>
      <c r="G31" s="22">
        <v>1</v>
      </c>
      <c r="Z31" s="9"/>
    </row>
    <row r="32" spans="2:26" x14ac:dyDescent="0.2">
      <c r="B32" s="15"/>
      <c r="C32" s="82" t="s">
        <v>3</v>
      </c>
      <c r="D32" s="180"/>
      <c r="E32" s="85">
        <v>20633.943483476491</v>
      </c>
      <c r="F32" s="88">
        <v>15455566</v>
      </c>
      <c r="G32" s="25">
        <v>8</v>
      </c>
      <c r="Z32" s="9"/>
    </row>
    <row r="33" spans="2:26" x14ac:dyDescent="0.2">
      <c r="B33" s="15"/>
      <c r="C33" s="211"/>
      <c r="D33" s="257" t="s">
        <v>49</v>
      </c>
      <c r="E33" s="214">
        <v>15153.852232900412</v>
      </c>
      <c r="F33" s="215">
        <v>4714198</v>
      </c>
      <c r="G33" s="258">
        <v>4</v>
      </c>
      <c r="H33" s="216"/>
      <c r="Z33" s="9"/>
    </row>
    <row r="34" spans="2:26" ht="17" thickBot="1" x14ac:dyDescent="0.25">
      <c r="B34" s="15"/>
      <c r="C34" s="83"/>
      <c r="D34" s="79" t="s">
        <v>130</v>
      </c>
      <c r="E34" s="64">
        <v>5480.091250576078</v>
      </c>
      <c r="F34" s="59">
        <v>10741368</v>
      </c>
      <c r="G34" s="71">
        <v>4</v>
      </c>
      <c r="Z34" s="9"/>
    </row>
    <row r="35" spans="2:26" ht="17" thickBot="1" x14ac:dyDescent="0.25">
      <c r="B35" s="14" t="s">
        <v>24</v>
      </c>
      <c r="C35" s="80"/>
      <c r="D35" s="68"/>
      <c r="E35" s="65">
        <v>80768.131102842148</v>
      </c>
      <c r="F35" s="61">
        <v>6458755</v>
      </c>
      <c r="G35" s="23">
        <v>100</v>
      </c>
      <c r="Z35" s="9"/>
    </row>
    <row r="36" spans="2:26" x14ac:dyDescent="0.2">
      <c r="B36" s="15"/>
      <c r="C36" s="72" t="s">
        <v>1</v>
      </c>
      <c r="D36" s="73"/>
      <c r="E36" s="85">
        <v>80732.923986587542</v>
      </c>
      <c r="F36" s="88">
        <v>6422687</v>
      </c>
      <c r="G36" s="25">
        <v>71</v>
      </c>
      <c r="Z36" s="9"/>
    </row>
    <row r="37" spans="2:26" x14ac:dyDescent="0.2">
      <c r="B37" s="15"/>
      <c r="C37" s="74"/>
      <c r="D37" s="75" t="s">
        <v>33</v>
      </c>
      <c r="E37" s="48">
        <v>445.48730682395268</v>
      </c>
      <c r="F37" s="58">
        <v>2066</v>
      </c>
      <c r="G37" s="22">
        <v>10</v>
      </c>
      <c r="Z37" s="9"/>
    </row>
    <row r="38" spans="2:26" x14ac:dyDescent="0.2">
      <c r="B38" s="15"/>
      <c r="C38" s="74"/>
      <c r="D38" s="75" t="s">
        <v>35</v>
      </c>
      <c r="E38" s="48">
        <v>140.59329780284241</v>
      </c>
      <c r="F38" s="58">
        <v>1059</v>
      </c>
      <c r="G38" s="22">
        <v>5</v>
      </c>
      <c r="Z38" s="9"/>
    </row>
    <row r="39" spans="2:26" x14ac:dyDescent="0.2">
      <c r="B39" s="15"/>
      <c r="C39" s="74"/>
      <c r="D39" s="75" t="s">
        <v>39</v>
      </c>
      <c r="E39" s="48">
        <v>30051.416417609871</v>
      </c>
      <c r="F39" s="58">
        <v>6372896</v>
      </c>
      <c r="G39" s="22">
        <v>27</v>
      </c>
      <c r="Z39" s="9"/>
    </row>
    <row r="40" spans="2:26" x14ac:dyDescent="0.2">
      <c r="B40" s="15"/>
      <c r="C40" s="74"/>
      <c r="D40" s="75" t="s">
        <v>41</v>
      </c>
      <c r="E40" s="48">
        <v>35.319677180610576</v>
      </c>
      <c r="F40" s="58">
        <v>4343</v>
      </c>
      <c r="G40" s="22">
        <v>4</v>
      </c>
      <c r="Z40" s="9"/>
    </row>
    <row r="41" spans="2:26" x14ac:dyDescent="0.2">
      <c r="B41" s="15"/>
      <c r="C41" s="74"/>
      <c r="D41" s="75" t="s">
        <v>139</v>
      </c>
      <c r="E41" s="48">
        <v>12184.121139888639</v>
      </c>
      <c r="F41" s="58">
        <v>40112</v>
      </c>
      <c r="G41" s="22">
        <v>21</v>
      </c>
      <c r="Z41" s="9"/>
    </row>
    <row r="42" spans="2:26" x14ac:dyDescent="0.2">
      <c r="B42" s="15"/>
      <c r="C42" s="74"/>
      <c r="D42" s="75" t="s">
        <v>142</v>
      </c>
      <c r="E42" s="48">
        <v>37875.986147281626</v>
      </c>
      <c r="F42" s="58">
        <v>2211</v>
      </c>
      <c r="G42" s="22">
        <v>4</v>
      </c>
      <c r="Z42" s="9"/>
    </row>
    <row r="43" spans="2:26" x14ac:dyDescent="0.2">
      <c r="B43" s="15"/>
      <c r="C43" s="76" t="s">
        <v>2</v>
      </c>
      <c r="D43" s="73"/>
      <c r="E43" s="85">
        <v>5.8422848144546045</v>
      </c>
      <c r="F43" s="88">
        <v>5348</v>
      </c>
      <c r="G43" s="25">
        <v>7</v>
      </c>
      <c r="Z43" s="9"/>
    </row>
    <row r="44" spans="2:26" x14ac:dyDescent="0.2">
      <c r="B44" s="15"/>
      <c r="C44" s="74"/>
      <c r="D44" s="75" t="s">
        <v>43</v>
      </c>
      <c r="E44" s="48">
        <v>5.8418575683608545</v>
      </c>
      <c r="F44" s="58">
        <v>5323</v>
      </c>
      <c r="G44" s="22">
        <v>6</v>
      </c>
      <c r="Z44" s="9"/>
    </row>
    <row r="45" spans="2:26" x14ac:dyDescent="0.2">
      <c r="B45" s="15"/>
      <c r="C45" s="74"/>
      <c r="D45" s="75" t="s">
        <v>45</v>
      </c>
      <c r="E45" s="48">
        <v>4.2724609375E-4</v>
      </c>
      <c r="F45" s="58">
        <v>25</v>
      </c>
      <c r="G45" s="22">
        <v>1</v>
      </c>
      <c r="Z45" s="9"/>
    </row>
    <row r="46" spans="2:26" x14ac:dyDescent="0.2">
      <c r="B46" s="15"/>
      <c r="C46" s="76" t="s">
        <v>3</v>
      </c>
      <c r="D46" s="73"/>
      <c r="E46" s="69">
        <v>29.364831440150645</v>
      </c>
      <c r="F46" s="87">
        <v>30720</v>
      </c>
      <c r="G46" s="26">
        <v>22</v>
      </c>
      <c r="Z46" s="9"/>
    </row>
    <row r="47" spans="2:26" x14ac:dyDescent="0.2">
      <c r="B47" s="15"/>
      <c r="C47" s="76"/>
      <c r="D47" s="73" t="s">
        <v>47</v>
      </c>
      <c r="E47" s="69">
        <v>0.3981700576841829</v>
      </c>
      <c r="F47" s="87">
        <v>2210</v>
      </c>
      <c r="G47" s="26">
        <v>4</v>
      </c>
      <c r="Z47" s="9"/>
    </row>
    <row r="48" spans="2:26" x14ac:dyDescent="0.2">
      <c r="B48" s="15"/>
      <c r="C48" s="74"/>
      <c r="D48" s="75" t="s">
        <v>49</v>
      </c>
      <c r="E48" s="212">
        <v>2.5218149125576006</v>
      </c>
      <c r="F48" s="213">
        <v>7618</v>
      </c>
      <c r="G48" s="47">
        <v>11</v>
      </c>
      <c r="Z48" s="9"/>
    </row>
    <row r="49" spans="2:26" ht="17" thickBot="1" x14ac:dyDescent="0.25">
      <c r="B49" s="15"/>
      <c r="C49" s="78"/>
      <c r="D49" s="79" t="s">
        <v>130</v>
      </c>
      <c r="E49" s="64">
        <v>26.444846469908864</v>
      </c>
      <c r="F49" s="59">
        <v>20892</v>
      </c>
      <c r="G49" s="71">
        <v>7</v>
      </c>
      <c r="Z49" s="9"/>
    </row>
    <row r="50" spans="2:26" ht="17" thickBot="1" x14ac:dyDescent="0.25">
      <c r="B50" s="14" t="s">
        <v>25</v>
      </c>
      <c r="C50" s="80"/>
      <c r="D50" s="68"/>
      <c r="E50" s="65">
        <v>16834.556122233087</v>
      </c>
      <c r="F50" s="61">
        <v>4343244</v>
      </c>
      <c r="G50" s="23">
        <v>73</v>
      </c>
      <c r="Z50" s="9"/>
    </row>
    <row r="51" spans="2:26" x14ac:dyDescent="0.2">
      <c r="B51" s="15"/>
      <c r="C51" s="72" t="s">
        <v>1</v>
      </c>
      <c r="D51" s="73"/>
      <c r="E51" s="85">
        <v>16671.336984504873</v>
      </c>
      <c r="F51" s="88">
        <v>3842119</v>
      </c>
      <c r="G51" s="25">
        <v>43</v>
      </c>
      <c r="Z51" s="9"/>
    </row>
    <row r="52" spans="2:26" x14ac:dyDescent="0.2">
      <c r="B52" s="15"/>
      <c r="C52" s="76"/>
      <c r="D52" s="84" t="s">
        <v>33</v>
      </c>
      <c r="E52" s="48">
        <v>1109.0457969503473</v>
      </c>
      <c r="F52" s="58">
        <v>8616</v>
      </c>
      <c r="G52" s="22">
        <v>7</v>
      </c>
      <c r="Z52" s="9"/>
    </row>
    <row r="53" spans="2:26" x14ac:dyDescent="0.2">
      <c r="B53" s="15"/>
      <c r="C53" s="76"/>
      <c r="D53" s="84" t="s">
        <v>35</v>
      </c>
      <c r="E53" s="48">
        <v>59.568470374680899</v>
      </c>
      <c r="F53" s="58">
        <v>390</v>
      </c>
      <c r="G53" s="22">
        <v>5</v>
      </c>
      <c r="Z53" s="9"/>
    </row>
    <row r="54" spans="2:26" x14ac:dyDescent="0.2">
      <c r="B54" s="15"/>
      <c r="C54" s="74"/>
      <c r="D54" s="84" t="s">
        <v>39</v>
      </c>
      <c r="E54" s="48">
        <v>12601.226914361056</v>
      </c>
      <c r="F54" s="58">
        <v>3822732</v>
      </c>
      <c r="G54" s="22">
        <v>14</v>
      </c>
      <c r="Z54" s="9"/>
    </row>
    <row r="55" spans="2:26" x14ac:dyDescent="0.2">
      <c r="B55" s="15"/>
      <c r="C55" s="74"/>
      <c r="D55" s="84" t="s">
        <v>139</v>
      </c>
      <c r="E55" s="48">
        <v>2900.9493999639421</v>
      </c>
      <c r="F55" s="58">
        <v>10379</v>
      </c>
      <c r="G55" s="22">
        <v>16</v>
      </c>
      <c r="Z55" s="9"/>
    </row>
    <row r="56" spans="2:26" x14ac:dyDescent="0.2">
      <c r="B56" s="15"/>
      <c r="C56" s="74"/>
      <c r="D56" s="84" t="s">
        <v>142</v>
      </c>
      <c r="E56" s="48">
        <v>0.54640285484492701</v>
      </c>
      <c r="F56" s="58">
        <v>2</v>
      </c>
      <c r="G56" s="22">
        <v>1</v>
      </c>
      <c r="Z56" s="9"/>
    </row>
    <row r="57" spans="2:26" x14ac:dyDescent="0.2">
      <c r="B57" s="15"/>
      <c r="C57" s="76" t="s">
        <v>2</v>
      </c>
      <c r="D57" s="73"/>
      <c r="E57" s="85">
        <v>48.86707140598439</v>
      </c>
      <c r="F57" s="88">
        <v>56023</v>
      </c>
      <c r="G57" s="25">
        <v>8</v>
      </c>
      <c r="Z57" s="9"/>
    </row>
    <row r="58" spans="2:26" x14ac:dyDescent="0.2">
      <c r="B58" s="15"/>
      <c r="C58" s="76"/>
      <c r="D58" s="73" t="s">
        <v>43</v>
      </c>
      <c r="E58" s="85">
        <v>48.840931420214403</v>
      </c>
      <c r="F58" s="88">
        <v>55979</v>
      </c>
      <c r="G58" s="25">
        <v>5</v>
      </c>
      <c r="Z58" s="9"/>
    </row>
    <row r="59" spans="2:26" x14ac:dyDescent="0.2">
      <c r="B59" s="15"/>
      <c r="C59" s="74"/>
      <c r="D59" s="75" t="s">
        <v>45</v>
      </c>
      <c r="E59" s="48">
        <v>2.6139985769986999E-2</v>
      </c>
      <c r="F59" s="58">
        <v>44</v>
      </c>
      <c r="G59" s="22">
        <v>3</v>
      </c>
      <c r="Z59" s="9"/>
    </row>
    <row r="60" spans="2:26" x14ac:dyDescent="0.2">
      <c r="B60" s="15"/>
      <c r="C60" s="76" t="s">
        <v>3</v>
      </c>
      <c r="D60" s="73"/>
      <c r="E60" s="85">
        <v>114.3520663222297</v>
      </c>
      <c r="F60" s="88">
        <v>445102</v>
      </c>
      <c r="G60" s="25">
        <v>22</v>
      </c>
      <c r="Z60" s="9"/>
    </row>
    <row r="61" spans="2:26" x14ac:dyDescent="0.2">
      <c r="B61" s="15"/>
      <c r="C61" s="74"/>
      <c r="D61" t="s">
        <v>160</v>
      </c>
      <c r="E61" s="48">
        <v>6.9685796350240601</v>
      </c>
      <c r="F61" s="58">
        <v>4</v>
      </c>
      <c r="G61" s="22">
        <v>2</v>
      </c>
      <c r="Z61" s="9"/>
    </row>
    <row r="62" spans="2:26" x14ac:dyDescent="0.2">
      <c r="B62" s="15"/>
      <c r="C62" s="74"/>
      <c r="D62" s="178" t="s">
        <v>158</v>
      </c>
      <c r="E62" s="48">
        <v>0.17733537498861501</v>
      </c>
      <c r="F62" s="58">
        <v>1</v>
      </c>
      <c r="G62" s="22">
        <v>1</v>
      </c>
      <c r="Z62" s="9"/>
    </row>
    <row r="63" spans="2:26" x14ac:dyDescent="0.2">
      <c r="B63" s="15"/>
      <c r="C63" s="74"/>
      <c r="D63" t="s">
        <v>47</v>
      </c>
      <c r="E63" s="48">
        <v>12.958256615325785</v>
      </c>
      <c r="F63" s="58">
        <v>14109</v>
      </c>
      <c r="G63" s="22">
        <v>5</v>
      </c>
      <c r="Z63" s="9"/>
    </row>
    <row r="64" spans="2:26" x14ac:dyDescent="0.2">
      <c r="B64" s="15"/>
      <c r="C64" s="74"/>
      <c r="D64" s="75" t="s">
        <v>49</v>
      </c>
      <c r="E64" s="48">
        <v>5.5861202506348402</v>
      </c>
      <c r="F64" s="58">
        <v>5872</v>
      </c>
      <c r="G64" s="22">
        <v>10</v>
      </c>
      <c r="Z64" s="9"/>
    </row>
    <row r="65" spans="2:26" ht="17" thickBot="1" x14ac:dyDescent="0.25">
      <c r="B65" s="15"/>
      <c r="C65" s="78"/>
      <c r="D65" s="79" t="s">
        <v>130</v>
      </c>
      <c r="E65" s="64">
        <v>88.661774446256402</v>
      </c>
      <c r="F65" s="59">
        <v>425116</v>
      </c>
      <c r="G65" s="71">
        <v>4</v>
      </c>
      <c r="Z65" s="9"/>
    </row>
    <row r="66" spans="2:26" ht="17" thickBot="1" x14ac:dyDescent="0.25">
      <c r="B66" s="14" t="s">
        <v>26</v>
      </c>
      <c r="C66" s="80"/>
      <c r="D66" s="68"/>
      <c r="E66" s="65">
        <v>18.876789620146056</v>
      </c>
      <c r="F66" s="61">
        <v>2682</v>
      </c>
      <c r="G66" s="23">
        <v>7</v>
      </c>
      <c r="Z66" s="9"/>
    </row>
    <row r="67" spans="2:26" x14ac:dyDescent="0.2">
      <c r="B67" s="273"/>
      <c r="C67" s="76" t="s">
        <v>1</v>
      </c>
      <c r="D67" s="73"/>
      <c r="E67" s="85">
        <v>1.3337470050901161</v>
      </c>
      <c r="F67" s="88">
        <v>208</v>
      </c>
      <c r="G67" s="25">
        <v>3</v>
      </c>
      <c r="Z67" s="9"/>
    </row>
    <row r="68" spans="2:26" x14ac:dyDescent="0.2">
      <c r="B68" s="273"/>
      <c r="C68" s="74"/>
      <c r="D68" s="75" t="s">
        <v>39</v>
      </c>
      <c r="E68" s="48">
        <v>9.1148940846323898E-3</v>
      </c>
      <c r="F68" s="58">
        <v>1</v>
      </c>
      <c r="G68" s="22">
        <v>1</v>
      </c>
      <c r="Z68" s="9"/>
    </row>
    <row r="69" spans="2:26" x14ac:dyDescent="0.2">
      <c r="B69" s="273"/>
      <c r="C69" s="74"/>
      <c r="D69" s="75" t="s">
        <v>41</v>
      </c>
      <c r="E69" s="48">
        <v>1.3246321110054837</v>
      </c>
      <c r="F69" s="58">
        <v>207</v>
      </c>
      <c r="G69" s="22">
        <v>2</v>
      </c>
      <c r="Z69" s="9"/>
    </row>
    <row r="70" spans="2:26" x14ac:dyDescent="0.2">
      <c r="B70" s="15"/>
      <c r="C70" s="76" t="s">
        <v>3</v>
      </c>
      <c r="D70" s="73"/>
      <c r="E70" s="85">
        <v>17.543042615055938</v>
      </c>
      <c r="F70" s="88">
        <v>2474</v>
      </c>
      <c r="G70" s="25">
        <v>4</v>
      </c>
      <c r="Z70" s="9"/>
    </row>
    <row r="71" spans="2:26" x14ac:dyDescent="0.2">
      <c r="B71" s="15"/>
      <c r="C71" s="74"/>
      <c r="D71" s="75" t="s">
        <v>49</v>
      </c>
      <c r="E71" s="48">
        <v>17.541514774784346</v>
      </c>
      <c r="F71" s="58">
        <v>2462</v>
      </c>
      <c r="G71" s="22">
        <v>2</v>
      </c>
      <c r="Z71" s="9"/>
    </row>
    <row r="72" spans="2:26" ht="17" thickBot="1" x14ac:dyDescent="0.25">
      <c r="B72" s="15"/>
      <c r="C72" s="74"/>
      <c r="D72" s="75" t="s">
        <v>130</v>
      </c>
      <c r="E72" s="48">
        <v>1.5278402715921402E-3</v>
      </c>
      <c r="F72" s="58">
        <v>12</v>
      </c>
      <c r="G72" s="22">
        <v>2</v>
      </c>
      <c r="Z72" s="9"/>
    </row>
    <row r="73" spans="2:26" ht="17" thickBot="1" x14ac:dyDescent="0.25">
      <c r="B73" s="14" t="s">
        <v>27</v>
      </c>
      <c r="C73" s="80"/>
      <c r="D73" s="68"/>
      <c r="E73" s="65">
        <v>496.01453534513655</v>
      </c>
      <c r="F73" s="61">
        <v>108600</v>
      </c>
      <c r="G73" s="23">
        <v>309</v>
      </c>
      <c r="Z73" s="9"/>
    </row>
    <row r="74" spans="2:26" x14ac:dyDescent="0.2">
      <c r="B74" s="15"/>
      <c r="C74" s="72" t="s">
        <v>1</v>
      </c>
      <c r="D74" s="73"/>
      <c r="E74" s="85">
        <v>494.45309456624034</v>
      </c>
      <c r="F74" s="88">
        <v>79541</v>
      </c>
      <c r="G74" s="25">
        <v>253</v>
      </c>
      <c r="Z74" s="9"/>
    </row>
    <row r="75" spans="2:26" x14ac:dyDescent="0.2">
      <c r="B75" s="15"/>
      <c r="C75" s="74"/>
      <c r="D75" s="75" t="s">
        <v>31</v>
      </c>
      <c r="E75" s="48">
        <v>2.74891965091228E-4</v>
      </c>
      <c r="F75" s="58">
        <v>1</v>
      </c>
      <c r="G75" s="22">
        <v>1</v>
      </c>
      <c r="Z75" s="9"/>
    </row>
    <row r="76" spans="2:26" x14ac:dyDescent="0.2">
      <c r="B76" s="15"/>
      <c r="C76" s="74"/>
      <c r="D76" s="75" t="s">
        <v>33</v>
      </c>
      <c r="E76" s="48">
        <v>0.269725667312741</v>
      </c>
      <c r="F76" s="58">
        <v>2931</v>
      </c>
      <c r="G76" s="22">
        <v>47</v>
      </c>
      <c r="Z76" s="9"/>
    </row>
    <row r="77" spans="2:26" x14ac:dyDescent="0.2">
      <c r="B77" s="15"/>
      <c r="C77" s="74"/>
      <c r="D77" s="75" t="s">
        <v>37</v>
      </c>
      <c r="E77" s="48">
        <v>9.2783179134130409E-3</v>
      </c>
      <c r="F77" s="58">
        <v>1</v>
      </c>
      <c r="G77" s="22">
        <v>1</v>
      </c>
      <c r="Z77" s="9"/>
    </row>
    <row r="78" spans="2:26" x14ac:dyDescent="0.2">
      <c r="B78" s="15"/>
      <c r="C78" s="74"/>
      <c r="D78" s="75" t="s">
        <v>39</v>
      </c>
      <c r="E78" s="48">
        <v>457.95416992157647</v>
      </c>
      <c r="F78" s="58">
        <v>59655</v>
      </c>
      <c r="G78" s="22">
        <v>83</v>
      </c>
      <c r="Z78" s="9"/>
    </row>
    <row r="79" spans="2:26" x14ac:dyDescent="0.2">
      <c r="B79" s="15"/>
      <c r="C79" s="74"/>
      <c r="D79" s="75" t="s">
        <v>41</v>
      </c>
      <c r="E79" s="48">
        <v>4.16229826491326</v>
      </c>
      <c r="F79" s="58">
        <v>612</v>
      </c>
      <c r="G79" s="22">
        <v>4</v>
      </c>
      <c r="Z79" s="9"/>
    </row>
    <row r="80" spans="2:26" x14ac:dyDescent="0.2">
      <c r="B80" s="15"/>
      <c r="C80" s="74"/>
      <c r="D80" s="75" t="s">
        <v>139</v>
      </c>
      <c r="E80" s="48">
        <v>29.059004654176501</v>
      </c>
      <c r="F80" s="58">
        <v>11021</v>
      </c>
      <c r="G80" s="22">
        <v>65</v>
      </c>
      <c r="Z80" s="9"/>
    </row>
    <row r="81" spans="2:26" x14ac:dyDescent="0.2">
      <c r="B81" s="15"/>
      <c r="C81" s="74"/>
      <c r="D81" s="75" t="s">
        <v>174</v>
      </c>
      <c r="E81" s="48">
        <v>1.2329200282692901E-2</v>
      </c>
      <c r="F81" s="58">
        <v>264</v>
      </c>
      <c r="G81" s="22">
        <v>2</v>
      </c>
      <c r="Z81" s="9"/>
    </row>
    <row r="82" spans="2:26" x14ac:dyDescent="0.2">
      <c r="B82" s="15"/>
      <c r="C82" s="74"/>
      <c r="D82" s="75" t="s">
        <v>142</v>
      </c>
      <c r="E82" s="48">
        <v>2.9860136481001902</v>
      </c>
      <c r="F82" s="58">
        <v>5056</v>
      </c>
      <c r="G82" s="22">
        <v>50</v>
      </c>
      <c r="Z82" s="9"/>
    </row>
    <row r="83" spans="2:26" x14ac:dyDescent="0.2">
      <c r="B83" s="15"/>
      <c r="C83" s="76" t="s">
        <v>2</v>
      </c>
      <c r="D83" s="73"/>
      <c r="E83" s="85">
        <v>0.62994640693068393</v>
      </c>
      <c r="F83" s="88">
        <v>5332</v>
      </c>
      <c r="G83" s="25">
        <v>12</v>
      </c>
      <c r="Z83" s="9"/>
    </row>
    <row r="84" spans="2:26" x14ac:dyDescent="0.2">
      <c r="B84" s="15"/>
      <c r="C84" s="74"/>
      <c r="D84" s="75" t="s">
        <v>43</v>
      </c>
      <c r="E84" s="48">
        <v>0.35550421476364091</v>
      </c>
      <c r="F84" s="58">
        <v>4145</v>
      </c>
      <c r="G84" s="22">
        <v>10</v>
      </c>
      <c r="Z84" s="9"/>
    </row>
    <row r="85" spans="2:26" x14ac:dyDescent="0.2">
      <c r="B85" s="15"/>
      <c r="C85" s="74"/>
      <c r="D85" s="75" t="s">
        <v>45</v>
      </c>
      <c r="E85" s="48">
        <v>0.27444219216704302</v>
      </c>
      <c r="F85" s="58">
        <v>1187</v>
      </c>
      <c r="G85" s="22">
        <v>2</v>
      </c>
      <c r="Z85" s="9"/>
    </row>
    <row r="86" spans="2:26" x14ac:dyDescent="0.2">
      <c r="B86" s="15"/>
      <c r="C86" s="76" t="s">
        <v>3</v>
      </c>
      <c r="D86" s="73"/>
      <c r="E86" s="85">
        <v>0.93149437196552565</v>
      </c>
      <c r="F86" s="88">
        <v>23727</v>
      </c>
      <c r="G86" s="25">
        <v>44</v>
      </c>
      <c r="Z86" s="9"/>
    </row>
    <row r="87" spans="2:26" x14ac:dyDescent="0.2">
      <c r="B87" s="15"/>
      <c r="C87" s="74"/>
      <c r="D87" s="75" t="s">
        <v>47</v>
      </c>
      <c r="E87" s="48">
        <v>5.7743370532989481E-2</v>
      </c>
      <c r="F87" s="58">
        <v>2316</v>
      </c>
      <c r="G87" s="22">
        <v>9</v>
      </c>
      <c r="Z87" s="9"/>
    </row>
    <row r="88" spans="2:26" x14ac:dyDescent="0.2">
      <c r="B88" s="15"/>
      <c r="C88" s="74"/>
      <c r="D88" s="75" t="s">
        <v>49</v>
      </c>
      <c r="E88" s="48">
        <v>0.2378221591934552</v>
      </c>
      <c r="F88" s="58">
        <v>10015</v>
      </c>
      <c r="G88" s="22">
        <v>18</v>
      </c>
      <c r="Z88" s="9"/>
    </row>
    <row r="89" spans="2:26" ht="17" thickBot="1" x14ac:dyDescent="0.25">
      <c r="B89" s="15"/>
      <c r="C89" s="74"/>
      <c r="D89" s="75" t="s">
        <v>130</v>
      </c>
      <c r="E89" s="49">
        <v>0.63592884223908097</v>
      </c>
      <c r="F89" s="60">
        <v>11396</v>
      </c>
      <c r="G89" s="22">
        <v>17</v>
      </c>
      <c r="Z89" s="9"/>
    </row>
    <row r="90" spans="2:26" ht="17" thickBot="1" x14ac:dyDescent="0.25">
      <c r="B90" s="16" t="s">
        <v>4</v>
      </c>
      <c r="C90" s="17"/>
      <c r="D90" s="57"/>
      <c r="E90" s="65">
        <v>2144513.5877302336</v>
      </c>
      <c r="F90" s="61">
        <v>451172570</v>
      </c>
      <c r="G90" s="23">
        <v>1537</v>
      </c>
      <c r="Z90" s="9"/>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BEBD-48A7-0D4B-A3BB-D9BDC2822F37}">
  <dimension ref="B1:AO369"/>
  <sheetViews>
    <sheetView workbookViewId="0"/>
  </sheetViews>
  <sheetFormatPr baseColWidth="10" defaultRowHeight="16" x14ac:dyDescent="0.2"/>
  <cols>
    <col min="3" max="3" width="38.5703125" bestFit="1" customWidth="1"/>
    <col min="4" max="4" width="19.7109375" bestFit="1" customWidth="1"/>
    <col min="5" max="5" width="14.42578125" style="230" bestFit="1" customWidth="1"/>
    <col min="6" max="6" width="14.7109375" style="220" bestFit="1" customWidth="1"/>
    <col min="7" max="7" width="10.85546875" style="220" bestFit="1" customWidth="1"/>
  </cols>
  <sheetData>
    <row r="1" spans="2:41" s="9" customFormat="1" x14ac:dyDescent="0.2">
      <c r="B1" s="8"/>
      <c r="E1" s="31"/>
      <c r="F1" s="27"/>
      <c r="G1" s="27"/>
      <c r="I1" s="6"/>
      <c r="AO1" s="31"/>
    </row>
    <row r="2" spans="2:41" s="9" customFormat="1" x14ac:dyDescent="0.2">
      <c r="B2" s="8"/>
      <c r="E2" s="31"/>
      <c r="F2" s="27"/>
      <c r="G2" s="27"/>
      <c r="I2" s="6"/>
      <c r="AO2" s="31"/>
    </row>
    <row r="3" spans="2:41" s="9" customFormat="1" ht="23" x14ac:dyDescent="0.2">
      <c r="B3" s="271" t="s">
        <v>149</v>
      </c>
      <c r="C3" s="271"/>
      <c r="D3" s="271"/>
      <c r="E3" s="271"/>
      <c r="F3" s="271"/>
      <c r="G3" s="271"/>
      <c r="H3" s="91"/>
      <c r="I3" s="92"/>
      <c r="J3" s="91"/>
      <c r="K3" s="91"/>
      <c r="L3" s="91"/>
      <c r="M3" s="91"/>
      <c r="N3" s="91"/>
      <c r="O3" s="91"/>
      <c r="AO3" s="31"/>
    </row>
    <row r="4" spans="2:41" s="9" customFormat="1" ht="18" x14ac:dyDescent="0.2">
      <c r="B4" s="270" t="s">
        <v>179</v>
      </c>
      <c r="C4" s="270"/>
      <c r="D4" s="270"/>
      <c r="E4" s="270"/>
      <c r="F4" s="270"/>
      <c r="G4" s="270"/>
      <c r="I4" s="6"/>
      <c r="AO4" s="31"/>
    </row>
    <row r="5" spans="2:41" s="9" customFormat="1" x14ac:dyDescent="0.2">
      <c r="B5" s="6"/>
      <c r="E5" s="31"/>
      <c r="F5" s="27"/>
      <c r="G5" s="27"/>
      <c r="AH5" s="31"/>
    </row>
    <row r="6" spans="2:41" s="12" customFormat="1" ht="17" thickBot="1" x14ac:dyDescent="0.25">
      <c r="E6" s="228"/>
      <c r="F6" s="219"/>
      <c r="G6" s="219"/>
    </row>
    <row r="7" spans="2:41" s="6" customFormat="1" ht="17" thickBot="1" x14ac:dyDescent="0.25">
      <c r="B7" s="5" t="s">
        <v>28</v>
      </c>
      <c r="C7" s="185" t="s">
        <v>52</v>
      </c>
      <c r="D7" s="86" t="s">
        <v>53</v>
      </c>
      <c r="E7" s="229" t="s">
        <v>144</v>
      </c>
      <c r="F7" s="179" t="s">
        <v>145</v>
      </c>
      <c r="G7" s="179" t="s">
        <v>146</v>
      </c>
    </row>
    <row r="8" spans="2:41" s="9" customFormat="1" ht="17" thickBot="1" x14ac:dyDescent="0.25">
      <c r="B8" s="187" t="s">
        <v>1</v>
      </c>
      <c r="C8" s="188"/>
      <c r="D8" s="188"/>
      <c r="E8" s="243">
        <v>2100191.9992472013</v>
      </c>
      <c r="F8" s="244">
        <v>412173327</v>
      </c>
      <c r="G8" s="245">
        <v>1263</v>
      </c>
    </row>
    <row r="9" spans="2:41" ht="18" thickTop="1" thickBot="1" x14ac:dyDescent="0.25">
      <c r="B9" s="221"/>
      <c r="C9" s="247" t="s">
        <v>31</v>
      </c>
      <c r="E9" s="238">
        <v>2.74891965091228E-4</v>
      </c>
      <c r="F9" s="239">
        <v>1</v>
      </c>
      <c r="G9" s="240">
        <v>1</v>
      </c>
    </row>
    <row r="10" spans="2:41" ht="17" thickBot="1" x14ac:dyDescent="0.25">
      <c r="B10" s="221"/>
      <c r="D10" s="262" t="s">
        <v>59</v>
      </c>
      <c r="E10" s="259">
        <v>2.74891965091228E-4</v>
      </c>
      <c r="F10" s="260">
        <v>1</v>
      </c>
      <c r="G10" s="261">
        <v>1</v>
      </c>
    </row>
    <row r="11" spans="2:41" ht="17" thickBot="1" x14ac:dyDescent="0.25">
      <c r="B11" s="221"/>
      <c r="C11" s="224" t="s">
        <v>33</v>
      </c>
      <c r="D11" s="235"/>
      <c r="E11" s="236">
        <v>783609.01109381858</v>
      </c>
      <c r="F11" s="237">
        <v>14884381</v>
      </c>
      <c r="G11" s="242">
        <v>125</v>
      </c>
    </row>
    <row r="12" spans="2:41" x14ac:dyDescent="0.2">
      <c r="B12" s="221"/>
      <c r="D12" s="241" t="s">
        <v>61</v>
      </c>
      <c r="E12" s="28">
        <v>4.4936314225196796E-6</v>
      </c>
      <c r="F12" s="4">
        <v>5</v>
      </c>
      <c r="G12" s="227">
        <v>1</v>
      </c>
    </row>
    <row r="13" spans="2:41" x14ac:dyDescent="0.2">
      <c r="B13" s="221"/>
      <c r="D13" s="241" t="s">
        <v>62</v>
      </c>
      <c r="E13" s="28">
        <v>8.7798759341239897E-4</v>
      </c>
      <c r="F13" s="4">
        <v>18</v>
      </c>
      <c r="G13" s="227">
        <v>1</v>
      </c>
    </row>
    <row r="14" spans="2:41" x14ac:dyDescent="0.2">
      <c r="B14" s="221"/>
      <c r="D14" s="241" t="s">
        <v>63</v>
      </c>
      <c r="E14" s="28">
        <v>19.024051117710748</v>
      </c>
      <c r="F14" s="4">
        <v>80</v>
      </c>
      <c r="G14" s="227">
        <v>2</v>
      </c>
    </row>
    <row r="15" spans="2:41" x14ac:dyDescent="0.2">
      <c r="B15" s="221"/>
      <c r="D15" s="241" t="s">
        <v>108</v>
      </c>
      <c r="E15" s="28">
        <v>5.2861310541629705E-4</v>
      </c>
      <c r="F15" s="4">
        <v>28</v>
      </c>
      <c r="G15" s="227">
        <v>1</v>
      </c>
    </row>
    <row r="16" spans="2:41" x14ac:dyDescent="0.2">
      <c r="B16" s="221"/>
      <c r="D16" s="241" t="s">
        <v>154</v>
      </c>
      <c r="E16" s="28">
        <v>7.9009588807821198E-4</v>
      </c>
      <c r="F16" s="4">
        <v>24</v>
      </c>
      <c r="G16" s="227">
        <v>1</v>
      </c>
    </row>
    <row r="17" spans="2:7" x14ac:dyDescent="0.2">
      <c r="B17" s="221"/>
      <c r="D17" s="241" t="s">
        <v>68</v>
      </c>
      <c r="E17" s="28">
        <v>12.072986967861565</v>
      </c>
      <c r="F17" s="4">
        <v>160</v>
      </c>
      <c r="G17" s="227">
        <v>13</v>
      </c>
    </row>
    <row r="18" spans="2:7" x14ac:dyDescent="0.2">
      <c r="B18" s="221"/>
      <c r="D18" s="241" t="s">
        <v>70</v>
      </c>
      <c r="E18" s="28">
        <v>8.869743708521117</v>
      </c>
      <c r="F18" s="4">
        <v>345</v>
      </c>
      <c r="G18" s="227">
        <v>7</v>
      </c>
    </row>
    <row r="19" spans="2:7" x14ac:dyDescent="0.2">
      <c r="B19" s="221"/>
      <c r="D19" s="241" t="s">
        <v>71</v>
      </c>
      <c r="E19" s="28">
        <v>0.24829924292862382</v>
      </c>
      <c r="F19" s="4">
        <v>19</v>
      </c>
      <c r="G19" s="227">
        <v>2</v>
      </c>
    </row>
    <row r="20" spans="2:7" x14ac:dyDescent="0.2">
      <c r="B20" s="221"/>
      <c r="D20" s="241" t="s">
        <v>74</v>
      </c>
      <c r="E20" s="28">
        <v>2.4496670812368301E-4</v>
      </c>
      <c r="F20" s="4">
        <v>4</v>
      </c>
      <c r="G20" s="227">
        <v>1</v>
      </c>
    </row>
    <row r="21" spans="2:7" x14ac:dyDescent="0.2">
      <c r="B21" s="221"/>
      <c r="D21" s="241" t="s">
        <v>76</v>
      </c>
      <c r="E21" s="28">
        <v>1.4139322647824799</v>
      </c>
      <c r="F21" s="4">
        <v>6</v>
      </c>
      <c r="G21" s="227">
        <v>1</v>
      </c>
    </row>
    <row r="22" spans="2:7" x14ac:dyDescent="0.2">
      <c r="B22" s="221"/>
      <c r="D22" s="241" t="s">
        <v>78</v>
      </c>
      <c r="E22" s="28">
        <v>3.4309923648834199E-6</v>
      </c>
      <c r="F22" s="4">
        <v>4</v>
      </c>
      <c r="G22" s="227">
        <v>1</v>
      </c>
    </row>
    <row r="23" spans="2:7" x14ac:dyDescent="0.2">
      <c r="B23" s="221"/>
      <c r="D23" s="241" t="s">
        <v>54</v>
      </c>
      <c r="E23" s="28">
        <v>1.54135935008525E-3</v>
      </c>
      <c r="F23" s="4">
        <v>33</v>
      </c>
      <c r="G23" s="227">
        <v>2</v>
      </c>
    </row>
    <row r="24" spans="2:7" x14ac:dyDescent="0.2">
      <c r="B24" s="221"/>
      <c r="D24" s="241" t="s">
        <v>79</v>
      </c>
      <c r="E24" s="28">
        <v>2.7922447770833899E-4</v>
      </c>
      <c r="F24" s="4">
        <v>9</v>
      </c>
      <c r="G24" s="227">
        <v>1</v>
      </c>
    </row>
    <row r="25" spans="2:7" x14ac:dyDescent="0.2">
      <c r="B25" s="221"/>
      <c r="D25" s="241" t="s">
        <v>81</v>
      </c>
      <c r="E25" s="28">
        <v>9.7509473562240601E-7</v>
      </c>
      <c r="F25" s="4">
        <v>1</v>
      </c>
      <c r="G25" s="227">
        <v>1</v>
      </c>
    </row>
    <row r="26" spans="2:7" x14ac:dyDescent="0.2">
      <c r="B26" s="221"/>
      <c r="D26" s="241" t="s">
        <v>83</v>
      </c>
      <c r="E26" s="28">
        <v>2.10556760430335E-3</v>
      </c>
      <c r="F26" s="4">
        <v>23</v>
      </c>
      <c r="G26" s="227">
        <v>1</v>
      </c>
    </row>
    <row r="27" spans="2:7" x14ac:dyDescent="0.2">
      <c r="B27" s="221"/>
      <c r="D27" s="241" t="s">
        <v>84</v>
      </c>
      <c r="E27" s="28">
        <v>5.6765694171190197E-4</v>
      </c>
      <c r="F27" s="4">
        <v>43</v>
      </c>
      <c r="G27" s="227">
        <v>2</v>
      </c>
    </row>
    <row r="28" spans="2:7" x14ac:dyDescent="0.2">
      <c r="B28" s="221"/>
      <c r="D28" s="241" t="s">
        <v>86</v>
      </c>
      <c r="E28" s="28">
        <v>8.7823718786239603E-7</v>
      </c>
      <c r="F28" s="4">
        <v>1</v>
      </c>
      <c r="G28" s="227">
        <v>1</v>
      </c>
    </row>
    <row r="29" spans="2:7" x14ac:dyDescent="0.2">
      <c r="B29" s="221"/>
      <c r="D29" s="241" t="s">
        <v>88</v>
      </c>
      <c r="E29" s="28">
        <v>10.8778360756114</v>
      </c>
      <c r="F29" s="4">
        <v>44</v>
      </c>
      <c r="G29" s="227">
        <v>1</v>
      </c>
    </row>
    <row r="30" spans="2:7" x14ac:dyDescent="0.2">
      <c r="B30" s="221"/>
      <c r="D30" s="241" t="s">
        <v>89</v>
      </c>
      <c r="E30" s="28">
        <v>5.9138983488082801E-6</v>
      </c>
      <c r="F30" s="4">
        <v>7</v>
      </c>
      <c r="G30" s="227">
        <v>1</v>
      </c>
    </row>
    <row r="31" spans="2:7" x14ac:dyDescent="0.2">
      <c r="B31" s="221"/>
      <c r="D31" s="241" t="s">
        <v>156</v>
      </c>
      <c r="E31" s="28">
        <v>2.92343087494373E-4</v>
      </c>
      <c r="F31" s="4">
        <v>4</v>
      </c>
      <c r="G31" s="227">
        <v>1</v>
      </c>
    </row>
    <row r="32" spans="2:7" x14ac:dyDescent="0.2">
      <c r="B32" s="221"/>
      <c r="D32" s="241" t="s">
        <v>90</v>
      </c>
      <c r="E32" s="28">
        <v>1.7937272787094099E-6</v>
      </c>
      <c r="F32" s="4">
        <v>2</v>
      </c>
      <c r="G32" s="227">
        <v>1</v>
      </c>
    </row>
    <row r="33" spans="2:7" x14ac:dyDescent="0.2">
      <c r="B33" s="221"/>
      <c r="D33" s="241" t="s">
        <v>193</v>
      </c>
      <c r="E33" s="28">
        <v>9.4063580036163298E-7</v>
      </c>
      <c r="F33" s="4">
        <v>1</v>
      </c>
      <c r="G33" s="227">
        <v>1</v>
      </c>
    </row>
    <row r="34" spans="2:7" x14ac:dyDescent="0.2">
      <c r="B34" s="221"/>
      <c r="D34" s="241" t="s">
        <v>56</v>
      </c>
      <c r="E34" s="28">
        <v>1.05884950608015E-3</v>
      </c>
      <c r="F34" s="4">
        <v>43</v>
      </c>
      <c r="G34" s="227">
        <v>2</v>
      </c>
    </row>
    <row r="35" spans="2:7" x14ac:dyDescent="0.2">
      <c r="B35" s="221"/>
      <c r="D35" s="241" t="s">
        <v>96</v>
      </c>
      <c r="E35" s="28">
        <v>2.49315053224563E-4</v>
      </c>
      <c r="F35" s="4">
        <v>1</v>
      </c>
      <c r="G35" s="227">
        <v>1</v>
      </c>
    </row>
    <row r="36" spans="2:7" x14ac:dyDescent="0.2">
      <c r="B36" s="221"/>
      <c r="D36" s="241" t="s">
        <v>195</v>
      </c>
      <c r="E36" s="28">
        <v>2.3142434656620001E-4</v>
      </c>
      <c r="F36" s="4">
        <v>3</v>
      </c>
      <c r="G36" s="227">
        <v>1</v>
      </c>
    </row>
    <row r="37" spans="2:7" x14ac:dyDescent="0.2">
      <c r="B37" s="221"/>
      <c r="D37" s="241" t="s">
        <v>57</v>
      </c>
      <c r="E37" s="28">
        <v>135.75585289299394</v>
      </c>
      <c r="F37" s="4">
        <v>779</v>
      </c>
      <c r="G37" s="227">
        <v>6</v>
      </c>
    </row>
    <row r="38" spans="2:7" x14ac:dyDescent="0.2">
      <c r="B38" s="221"/>
      <c r="D38" s="241" t="s">
        <v>98</v>
      </c>
      <c r="E38" s="28">
        <v>781648.45050496701</v>
      </c>
      <c r="F38" s="4">
        <v>13222066</v>
      </c>
      <c r="G38" s="227">
        <v>1</v>
      </c>
    </row>
    <row r="39" spans="2:7" x14ac:dyDescent="0.2">
      <c r="B39" s="221"/>
      <c r="D39" s="241" t="s">
        <v>101</v>
      </c>
      <c r="E39" s="28">
        <v>6.9817528128623897E-4</v>
      </c>
      <c r="F39" s="4">
        <v>11</v>
      </c>
      <c r="G39" s="227">
        <v>1</v>
      </c>
    </row>
    <row r="40" spans="2:7" x14ac:dyDescent="0.2">
      <c r="B40" s="221"/>
      <c r="D40" s="241" t="s">
        <v>58</v>
      </c>
      <c r="E40" s="28">
        <v>3.11203105095773</v>
      </c>
      <c r="F40" s="4">
        <v>13</v>
      </c>
      <c r="G40" s="227">
        <v>1</v>
      </c>
    </row>
    <row r="41" spans="2:7" x14ac:dyDescent="0.2">
      <c r="B41" s="221"/>
      <c r="D41" s="241" t="s">
        <v>59</v>
      </c>
      <c r="E41" s="28">
        <v>1769.1761161833977</v>
      </c>
      <c r="F41" s="4">
        <v>1660603</v>
      </c>
      <c r="G41" s="227">
        <v>67</v>
      </c>
    </row>
    <row r="42" spans="2:7" ht="17" thickBot="1" x14ac:dyDescent="0.25">
      <c r="B42" s="221"/>
      <c r="D42" s="241" t="s">
        <v>105</v>
      </c>
      <c r="E42" s="28">
        <v>2.5534164160489998E-4</v>
      </c>
      <c r="F42" s="4">
        <v>1</v>
      </c>
      <c r="G42" s="227">
        <v>1</v>
      </c>
    </row>
    <row r="43" spans="2:7" ht="17" thickBot="1" x14ac:dyDescent="0.25">
      <c r="B43" s="221"/>
      <c r="C43" s="224" t="s">
        <v>35</v>
      </c>
      <c r="D43" s="235"/>
      <c r="E43" s="236">
        <v>408.17529076337701</v>
      </c>
      <c r="F43" s="237">
        <v>3078</v>
      </c>
      <c r="G43" s="242">
        <v>16</v>
      </c>
    </row>
    <row r="44" spans="2:7" x14ac:dyDescent="0.2">
      <c r="B44" s="221"/>
      <c r="D44" s="241" t="s">
        <v>86</v>
      </c>
      <c r="E44" s="28">
        <v>39.4402268752455</v>
      </c>
      <c r="F44" s="4">
        <v>276</v>
      </c>
      <c r="G44" s="227">
        <v>2</v>
      </c>
    </row>
    <row r="45" spans="2:7" x14ac:dyDescent="0.2">
      <c r="B45" s="221"/>
      <c r="D45" s="241" t="s">
        <v>89</v>
      </c>
      <c r="E45" s="28">
        <v>7.3279824107885299</v>
      </c>
      <c r="F45" s="4">
        <v>54</v>
      </c>
      <c r="G45" s="227">
        <v>1</v>
      </c>
    </row>
    <row r="46" spans="2:7" x14ac:dyDescent="0.2">
      <c r="B46" s="221"/>
      <c r="D46" s="241" t="s">
        <v>57</v>
      </c>
      <c r="E46" s="28">
        <v>1.867543915286656</v>
      </c>
      <c r="F46" s="4">
        <v>14</v>
      </c>
      <c r="G46" s="227">
        <v>2</v>
      </c>
    </row>
    <row r="47" spans="2:7" x14ac:dyDescent="0.2">
      <c r="B47" s="221"/>
      <c r="D47" s="241" t="s">
        <v>98</v>
      </c>
      <c r="E47" s="28">
        <v>159.377769384533</v>
      </c>
      <c r="F47" s="4">
        <v>1285</v>
      </c>
      <c r="G47" s="227">
        <v>1</v>
      </c>
    </row>
    <row r="48" spans="2:7" ht="17" thickBot="1" x14ac:dyDescent="0.25">
      <c r="B48" s="221"/>
      <c r="D48" s="241" t="s">
        <v>59</v>
      </c>
      <c r="E48" s="28">
        <v>200.16176817752333</v>
      </c>
      <c r="F48" s="4">
        <v>1449</v>
      </c>
      <c r="G48" s="227">
        <v>10</v>
      </c>
    </row>
    <row r="49" spans="2:7" ht="17" thickBot="1" x14ac:dyDescent="0.25">
      <c r="B49" s="221"/>
      <c r="C49" s="224" t="s">
        <v>37</v>
      </c>
      <c r="D49" s="235"/>
      <c r="E49" s="236">
        <v>9.2783179134130409E-3</v>
      </c>
      <c r="F49" s="237">
        <v>1</v>
      </c>
      <c r="G49" s="242">
        <v>1</v>
      </c>
    </row>
    <row r="50" spans="2:7" ht="17" thickBot="1" x14ac:dyDescent="0.25">
      <c r="B50" s="221"/>
      <c r="D50" s="241" t="s">
        <v>59</v>
      </c>
      <c r="E50" s="28">
        <v>9.2783179134130409E-3</v>
      </c>
      <c r="F50" s="4">
        <v>1</v>
      </c>
      <c r="G50" s="227">
        <v>1</v>
      </c>
    </row>
    <row r="51" spans="2:7" ht="17" thickBot="1" x14ac:dyDescent="0.25">
      <c r="B51" s="221"/>
      <c r="C51" s="224" t="s">
        <v>39</v>
      </c>
      <c r="D51" s="235"/>
      <c r="E51" s="236">
        <v>1256502.849535573</v>
      </c>
      <c r="F51" s="237">
        <v>397109123</v>
      </c>
      <c r="G51" s="242">
        <v>583</v>
      </c>
    </row>
    <row r="52" spans="2:7" x14ac:dyDescent="0.2">
      <c r="B52" s="221"/>
      <c r="D52" s="241" t="s">
        <v>61</v>
      </c>
      <c r="E52" s="28">
        <v>7.3984041810035595E-2</v>
      </c>
      <c r="F52" s="4">
        <v>60</v>
      </c>
      <c r="G52" s="227">
        <v>5</v>
      </c>
    </row>
    <row r="53" spans="2:7" x14ac:dyDescent="0.2">
      <c r="B53" s="221"/>
      <c r="D53" s="241" t="s">
        <v>62</v>
      </c>
      <c r="E53" s="28">
        <v>0.13802483119070458</v>
      </c>
      <c r="F53" s="4">
        <v>107</v>
      </c>
      <c r="G53" s="227">
        <v>4</v>
      </c>
    </row>
    <row r="54" spans="2:7" x14ac:dyDescent="0.2">
      <c r="B54" s="221"/>
      <c r="D54" s="241" t="s">
        <v>164</v>
      </c>
      <c r="E54" s="28">
        <v>7.72456880658864E-2</v>
      </c>
      <c r="F54" s="4">
        <v>23</v>
      </c>
      <c r="G54" s="227">
        <v>1</v>
      </c>
    </row>
    <row r="55" spans="2:7" x14ac:dyDescent="0.2">
      <c r="B55" s="221"/>
      <c r="D55" s="241" t="s">
        <v>181</v>
      </c>
      <c r="E55" s="28">
        <v>9.1930897906422598E-3</v>
      </c>
      <c r="F55" s="4">
        <v>8</v>
      </c>
      <c r="G55" s="227">
        <v>1</v>
      </c>
    </row>
    <row r="56" spans="2:7" x14ac:dyDescent="0.2">
      <c r="B56" s="221"/>
      <c r="D56" s="241" t="s">
        <v>108</v>
      </c>
      <c r="E56" s="28">
        <v>1.4992638034746031</v>
      </c>
      <c r="F56" s="4">
        <v>610</v>
      </c>
      <c r="G56" s="227">
        <v>6</v>
      </c>
    </row>
    <row r="57" spans="2:7" x14ac:dyDescent="0.2">
      <c r="B57" s="221"/>
      <c r="D57" s="241" t="s">
        <v>66</v>
      </c>
      <c r="E57" s="28">
        <v>0.23566591646522281</v>
      </c>
      <c r="F57" s="4">
        <v>85</v>
      </c>
      <c r="G57" s="227">
        <v>7</v>
      </c>
    </row>
    <row r="58" spans="2:7" x14ac:dyDescent="0.2">
      <c r="B58" s="221"/>
      <c r="D58" s="241" t="s">
        <v>67</v>
      </c>
      <c r="E58" s="28">
        <v>4422.5652713766267</v>
      </c>
      <c r="F58" s="4">
        <v>686370</v>
      </c>
      <c r="G58" s="227">
        <v>16</v>
      </c>
    </row>
    <row r="59" spans="2:7" x14ac:dyDescent="0.2">
      <c r="B59" s="221"/>
      <c r="D59" s="241" t="s">
        <v>109</v>
      </c>
      <c r="E59" s="28">
        <v>3.3243520185351302E-2</v>
      </c>
      <c r="F59" s="4">
        <v>15</v>
      </c>
      <c r="G59" s="227">
        <v>1</v>
      </c>
    </row>
    <row r="60" spans="2:7" x14ac:dyDescent="0.2">
      <c r="B60" s="221"/>
      <c r="D60" s="241" t="s">
        <v>170</v>
      </c>
      <c r="E60" s="28">
        <v>6.4960698597133104E-2</v>
      </c>
      <c r="F60" s="4">
        <v>16</v>
      </c>
      <c r="G60" s="227">
        <v>1</v>
      </c>
    </row>
    <row r="61" spans="2:7" x14ac:dyDescent="0.2">
      <c r="B61" s="221"/>
      <c r="D61" s="241" t="s">
        <v>165</v>
      </c>
      <c r="E61" s="28">
        <v>2.2272382862865901E-2</v>
      </c>
      <c r="F61" s="4">
        <v>10</v>
      </c>
      <c r="G61" s="227">
        <v>1</v>
      </c>
    </row>
    <row r="62" spans="2:7" x14ac:dyDescent="0.2">
      <c r="B62" s="221"/>
      <c r="D62" s="241" t="s">
        <v>154</v>
      </c>
      <c r="E62" s="28">
        <v>3.5170434042811297E-2</v>
      </c>
      <c r="F62" s="4">
        <v>62</v>
      </c>
      <c r="G62" s="227">
        <v>1</v>
      </c>
    </row>
    <row r="63" spans="2:7" x14ac:dyDescent="0.2">
      <c r="B63" s="221"/>
      <c r="D63" s="241" t="s">
        <v>68</v>
      </c>
      <c r="E63" s="28">
        <v>606.68439375515993</v>
      </c>
      <c r="F63" s="4">
        <v>99391</v>
      </c>
      <c r="G63" s="227">
        <v>45</v>
      </c>
    </row>
    <row r="64" spans="2:7" x14ac:dyDescent="0.2">
      <c r="B64" s="221"/>
      <c r="D64" s="241" t="s">
        <v>69</v>
      </c>
      <c r="E64" s="28">
        <v>0.38861790113151001</v>
      </c>
      <c r="F64" s="4">
        <v>485</v>
      </c>
      <c r="G64" s="227">
        <v>5</v>
      </c>
    </row>
    <row r="65" spans="2:7" x14ac:dyDescent="0.2">
      <c r="B65" s="221"/>
      <c r="D65" s="241" t="s">
        <v>70</v>
      </c>
      <c r="E65" s="28">
        <v>2023.7547700321225</v>
      </c>
      <c r="F65" s="4">
        <v>314356</v>
      </c>
      <c r="G65" s="227">
        <v>30</v>
      </c>
    </row>
    <row r="66" spans="2:7" x14ac:dyDescent="0.2">
      <c r="B66" s="221"/>
      <c r="D66" s="241" t="s">
        <v>71</v>
      </c>
      <c r="E66" s="28">
        <v>0.6762871323153371</v>
      </c>
      <c r="F66" s="4">
        <v>482</v>
      </c>
      <c r="G66" s="227">
        <v>27</v>
      </c>
    </row>
    <row r="67" spans="2:7" x14ac:dyDescent="0.2">
      <c r="B67" s="221"/>
      <c r="D67" s="241" t="s">
        <v>182</v>
      </c>
      <c r="E67" s="28">
        <v>7.9157960601150976E-2</v>
      </c>
      <c r="F67" s="4">
        <v>29</v>
      </c>
      <c r="G67" s="227">
        <v>7</v>
      </c>
    </row>
    <row r="68" spans="2:7" x14ac:dyDescent="0.2">
      <c r="B68" s="221"/>
      <c r="D68" s="241" t="s">
        <v>107</v>
      </c>
      <c r="E68" s="28">
        <v>9.2019755393266608E-3</v>
      </c>
      <c r="F68" s="4">
        <v>10</v>
      </c>
      <c r="G68" s="227">
        <v>1</v>
      </c>
    </row>
    <row r="69" spans="2:7" x14ac:dyDescent="0.2">
      <c r="B69" s="221"/>
      <c r="D69" s="241" t="s">
        <v>72</v>
      </c>
      <c r="E69" s="28">
        <v>6.59364163875579E-2</v>
      </c>
      <c r="F69" s="4">
        <v>73</v>
      </c>
      <c r="G69" s="227">
        <v>5</v>
      </c>
    </row>
    <row r="70" spans="2:7" x14ac:dyDescent="0.2">
      <c r="B70" s="221"/>
      <c r="D70" s="241" t="s">
        <v>73</v>
      </c>
      <c r="E70" s="28">
        <v>0.16561991907656101</v>
      </c>
      <c r="F70" s="4">
        <v>85</v>
      </c>
      <c r="G70" s="227">
        <v>4</v>
      </c>
    </row>
    <row r="71" spans="2:7" x14ac:dyDescent="0.2">
      <c r="B71" s="221"/>
      <c r="D71" s="241" t="s">
        <v>74</v>
      </c>
      <c r="E71" s="28">
        <v>2.4126669391989687E-2</v>
      </c>
      <c r="F71" s="4">
        <v>189</v>
      </c>
      <c r="G71" s="227">
        <v>5</v>
      </c>
    </row>
    <row r="72" spans="2:7" x14ac:dyDescent="0.2">
      <c r="B72" s="221"/>
      <c r="D72" s="241" t="s">
        <v>166</v>
      </c>
      <c r="E72" s="28">
        <v>0.22139548417180699</v>
      </c>
      <c r="F72" s="4">
        <v>55</v>
      </c>
      <c r="G72" s="227">
        <v>2</v>
      </c>
    </row>
    <row r="73" spans="2:7" x14ac:dyDescent="0.2">
      <c r="B73" s="221"/>
      <c r="D73" s="241" t="s">
        <v>75</v>
      </c>
      <c r="E73" s="28">
        <v>11.227390713058405</v>
      </c>
      <c r="F73" s="4">
        <v>1811</v>
      </c>
      <c r="G73" s="227">
        <v>5</v>
      </c>
    </row>
    <row r="74" spans="2:7" x14ac:dyDescent="0.2">
      <c r="B74" s="221"/>
      <c r="D74" s="241" t="s">
        <v>76</v>
      </c>
      <c r="E74" s="28">
        <v>1.04421583469957</v>
      </c>
      <c r="F74" s="4">
        <v>359</v>
      </c>
      <c r="G74" s="227">
        <v>16</v>
      </c>
    </row>
    <row r="75" spans="2:7" x14ac:dyDescent="0.2">
      <c r="B75" s="221"/>
      <c r="D75" s="241" t="s">
        <v>183</v>
      </c>
      <c r="E75" s="28">
        <v>6.7826021462678895E-2</v>
      </c>
      <c r="F75" s="4">
        <v>99</v>
      </c>
      <c r="G75" s="227">
        <v>1</v>
      </c>
    </row>
    <row r="76" spans="2:7" x14ac:dyDescent="0.2">
      <c r="B76" s="221"/>
      <c r="D76" s="241" t="s">
        <v>77</v>
      </c>
      <c r="E76" s="28">
        <v>1.7212763428688039E-2</v>
      </c>
      <c r="F76" s="4">
        <v>5</v>
      </c>
      <c r="G76" s="227">
        <v>3</v>
      </c>
    </row>
    <row r="77" spans="2:7" x14ac:dyDescent="0.2">
      <c r="B77" s="221"/>
      <c r="D77" s="241" t="s">
        <v>78</v>
      </c>
      <c r="E77" s="28">
        <v>8.6346957832574792E-3</v>
      </c>
      <c r="F77" s="4">
        <v>5</v>
      </c>
      <c r="G77" s="227">
        <v>1</v>
      </c>
    </row>
    <row r="78" spans="2:7" x14ac:dyDescent="0.2">
      <c r="B78" s="221"/>
      <c r="D78" s="241" t="s">
        <v>54</v>
      </c>
      <c r="E78" s="28">
        <v>1.8127985242754201</v>
      </c>
      <c r="F78" s="4">
        <v>1139</v>
      </c>
      <c r="G78" s="227">
        <v>8</v>
      </c>
    </row>
    <row r="79" spans="2:7" x14ac:dyDescent="0.2">
      <c r="B79" s="221"/>
      <c r="D79" s="241" t="s">
        <v>167</v>
      </c>
      <c r="E79" s="28">
        <v>2.8093887493014301E-2</v>
      </c>
      <c r="F79" s="4">
        <v>5</v>
      </c>
      <c r="G79" s="227">
        <v>1</v>
      </c>
    </row>
    <row r="80" spans="2:7" x14ac:dyDescent="0.2">
      <c r="B80" s="221"/>
      <c r="D80" s="241" t="s">
        <v>79</v>
      </c>
      <c r="E80" s="28">
        <v>40.580772992223423</v>
      </c>
      <c r="F80" s="4">
        <v>6480</v>
      </c>
      <c r="G80" s="227">
        <v>26</v>
      </c>
    </row>
    <row r="81" spans="2:7" x14ac:dyDescent="0.2">
      <c r="B81" s="221"/>
      <c r="D81" s="241" t="s">
        <v>80</v>
      </c>
      <c r="E81" s="28">
        <v>7.9086534678936005E-3</v>
      </c>
      <c r="F81" s="4">
        <v>7</v>
      </c>
      <c r="G81" s="227">
        <v>3</v>
      </c>
    </row>
    <row r="82" spans="2:7" x14ac:dyDescent="0.2">
      <c r="B82" s="221"/>
      <c r="D82" s="241" t="s">
        <v>81</v>
      </c>
      <c r="E82" s="28">
        <v>0.4902304476127024</v>
      </c>
      <c r="F82" s="4">
        <v>173</v>
      </c>
      <c r="G82" s="227">
        <v>9</v>
      </c>
    </row>
    <row r="83" spans="2:7" x14ac:dyDescent="0.2">
      <c r="B83" s="221"/>
      <c r="D83" s="241" t="s">
        <v>82</v>
      </c>
      <c r="E83" s="28">
        <v>0.31146774534136001</v>
      </c>
      <c r="F83" s="4">
        <v>84</v>
      </c>
      <c r="G83" s="227">
        <v>4</v>
      </c>
    </row>
    <row r="84" spans="2:7" x14ac:dyDescent="0.2">
      <c r="B84" s="221"/>
      <c r="D84" s="241" t="s">
        <v>185</v>
      </c>
      <c r="E84" s="28">
        <v>2.5228887796401901E-2</v>
      </c>
      <c r="F84" s="4">
        <v>20</v>
      </c>
      <c r="G84" s="227">
        <v>2</v>
      </c>
    </row>
    <row r="85" spans="2:7" x14ac:dyDescent="0.2">
      <c r="B85" s="221"/>
      <c r="D85" s="241" t="s">
        <v>83</v>
      </c>
      <c r="E85" s="28">
        <v>46.311208154074734</v>
      </c>
      <c r="F85" s="4">
        <v>8891</v>
      </c>
      <c r="G85" s="227">
        <v>17</v>
      </c>
    </row>
    <row r="86" spans="2:7" x14ac:dyDescent="0.2">
      <c r="B86" s="221"/>
      <c r="D86" s="241" t="s">
        <v>84</v>
      </c>
      <c r="E86" s="28">
        <v>3.2941202558576959</v>
      </c>
      <c r="F86" s="4">
        <v>981</v>
      </c>
      <c r="G86" s="227">
        <v>10</v>
      </c>
    </row>
    <row r="87" spans="2:7" x14ac:dyDescent="0.2">
      <c r="B87" s="221"/>
      <c r="D87" s="241" t="s">
        <v>110</v>
      </c>
      <c r="E87" s="28">
        <v>9.2591660097241374E-2</v>
      </c>
      <c r="F87" s="4">
        <v>41</v>
      </c>
      <c r="G87" s="227">
        <v>3</v>
      </c>
    </row>
    <row r="88" spans="2:7" x14ac:dyDescent="0.2">
      <c r="B88" s="221"/>
      <c r="D88" s="241" t="s">
        <v>111</v>
      </c>
      <c r="E88" s="28">
        <v>0.35727021656930402</v>
      </c>
      <c r="F88" s="4">
        <v>113</v>
      </c>
      <c r="G88" s="227">
        <v>1</v>
      </c>
    </row>
    <row r="89" spans="2:7" x14ac:dyDescent="0.2">
      <c r="B89" s="221"/>
      <c r="D89" s="241" t="s">
        <v>55</v>
      </c>
      <c r="E89" s="28">
        <v>6.1067869886755902E-2</v>
      </c>
      <c r="F89" s="4">
        <v>24</v>
      </c>
      <c r="G89" s="227">
        <v>4</v>
      </c>
    </row>
    <row r="90" spans="2:7" x14ac:dyDescent="0.2">
      <c r="B90" s="221"/>
      <c r="D90" s="241" t="s">
        <v>186</v>
      </c>
      <c r="E90" s="28">
        <v>8.0280620604753408E-3</v>
      </c>
      <c r="F90" s="4">
        <v>1</v>
      </c>
      <c r="G90" s="227">
        <v>1</v>
      </c>
    </row>
    <row r="91" spans="2:7" x14ac:dyDescent="0.2">
      <c r="B91" s="221"/>
      <c r="D91" s="241" t="s">
        <v>187</v>
      </c>
      <c r="E91" s="28">
        <v>7.0337839424610103E-3</v>
      </c>
      <c r="F91" s="4">
        <v>11</v>
      </c>
      <c r="G91" s="227">
        <v>1</v>
      </c>
    </row>
    <row r="92" spans="2:7" x14ac:dyDescent="0.2">
      <c r="B92" s="221"/>
      <c r="D92" s="241" t="s">
        <v>85</v>
      </c>
      <c r="E92" s="28">
        <v>6.9740543141961001E-2</v>
      </c>
      <c r="F92" s="4">
        <v>31</v>
      </c>
      <c r="G92" s="227">
        <v>3</v>
      </c>
    </row>
    <row r="93" spans="2:7" x14ac:dyDescent="0.2">
      <c r="B93" s="221"/>
      <c r="D93" s="241" t="s">
        <v>86</v>
      </c>
      <c r="E93" s="28">
        <v>8.7212438695132705E-2</v>
      </c>
      <c r="F93" s="4">
        <v>112</v>
      </c>
      <c r="G93" s="227">
        <v>2</v>
      </c>
    </row>
    <row r="94" spans="2:7" x14ac:dyDescent="0.2">
      <c r="B94" s="221"/>
      <c r="D94" s="241" t="s">
        <v>112</v>
      </c>
      <c r="E94" s="28">
        <v>1.1381676420569401E-2</v>
      </c>
      <c r="F94" s="4">
        <v>2</v>
      </c>
      <c r="G94" s="227">
        <v>1</v>
      </c>
    </row>
    <row r="95" spans="2:7" x14ac:dyDescent="0.2">
      <c r="B95" s="221"/>
      <c r="D95" s="241" t="s">
        <v>87</v>
      </c>
      <c r="E95" s="28">
        <v>0.17670185118913556</v>
      </c>
      <c r="F95" s="4">
        <v>83</v>
      </c>
      <c r="G95" s="227">
        <v>7</v>
      </c>
    </row>
    <row r="96" spans="2:7" x14ac:dyDescent="0.2">
      <c r="B96" s="221"/>
      <c r="D96" s="241" t="s">
        <v>172</v>
      </c>
      <c r="E96" s="28">
        <v>556.78777747321863</v>
      </c>
      <c r="F96" s="4">
        <v>102591</v>
      </c>
      <c r="G96" s="227">
        <v>2</v>
      </c>
    </row>
    <row r="97" spans="2:7" x14ac:dyDescent="0.2">
      <c r="B97" s="221"/>
      <c r="D97" s="241" t="s">
        <v>155</v>
      </c>
      <c r="E97" s="28">
        <v>6.41249539330601E-2</v>
      </c>
      <c r="F97" s="4">
        <v>13</v>
      </c>
      <c r="G97" s="227">
        <v>4</v>
      </c>
    </row>
    <row r="98" spans="2:7" x14ac:dyDescent="0.2">
      <c r="B98" s="221"/>
      <c r="D98" s="241" t="s">
        <v>88</v>
      </c>
      <c r="E98" s="28">
        <v>8.3828410133719392E-3</v>
      </c>
      <c r="F98" s="4">
        <v>12</v>
      </c>
      <c r="G98" s="227">
        <v>2</v>
      </c>
    </row>
    <row r="99" spans="2:7" x14ac:dyDescent="0.2">
      <c r="B99" s="221"/>
      <c r="D99" s="241" t="s">
        <v>89</v>
      </c>
      <c r="E99" s="28">
        <v>13.983654704876191</v>
      </c>
      <c r="F99" s="4">
        <v>3804</v>
      </c>
      <c r="G99" s="227">
        <v>6</v>
      </c>
    </row>
    <row r="100" spans="2:7" x14ac:dyDescent="0.2">
      <c r="B100" s="221"/>
      <c r="D100" s="241" t="s">
        <v>156</v>
      </c>
      <c r="E100" s="28">
        <v>8.5876267403364095E-3</v>
      </c>
      <c r="F100" s="4">
        <v>4</v>
      </c>
      <c r="G100" s="227">
        <v>1</v>
      </c>
    </row>
    <row r="101" spans="2:7" x14ac:dyDescent="0.2">
      <c r="B101" s="221"/>
      <c r="D101" s="241" t="s">
        <v>113</v>
      </c>
      <c r="E101" s="28">
        <v>8.2496404647827096E-3</v>
      </c>
      <c r="F101" s="4">
        <v>10</v>
      </c>
      <c r="G101" s="227">
        <v>1</v>
      </c>
    </row>
    <row r="102" spans="2:7" x14ac:dyDescent="0.2">
      <c r="B102" s="221"/>
      <c r="D102" s="241" t="s">
        <v>90</v>
      </c>
      <c r="E102" s="28">
        <v>9.1568082571029594E-3</v>
      </c>
      <c r="F102" s="4">
        <v>7</v>
      </c>
      <c r="G102" s="227">
        <v>2</v>
      </c>
    </row>
    <row r="103" spans="2:7" x14ac:dyDescent="0.2">
      <c r="B103" s="221"/>
      <c r="D103" s="241" t="s">
        <v>191</v>
      </c>
      <c r="E103" s="28">
        <v>1.67642310261726E-2</v>
      </c>
      <c r="F103" s="4">
        <v>7</v>
      </c>
      <c r="G103" s="227">
        <v>1</v>
      </c>
    </row>
    <row r="104" spans="2:7" x14ac:dyDescent="0.2">
      <c r="B104" s="221"/>
      <c r="D104" s="241" t="s">
        <v>91</v>
      </c>
      <c r="E104" s="28">
        <v>0.11456522345542901</v>
      </c>
      <c r="F104" s="4">
        <v>36</v>
      </c>
      <c r="G104" s="227">
        <v>4</v>
      </c>
    </row>
    <row r="105" spans="2:7" x14ac:dyDescent="0.2">
      <c r="B105" s="221"/>
      <c r="D105" s="241" t="s">
        <v>192</v>
      </c>
      <c r="E105" s="28">
        <v>1.6793915070593302E-2</v>
      </c>
      <c r="F105" s="4">
        <v>10</v>
      </c>
      <c r="G105" s="227">
        <v>1</v>
      </c>
    </row>
    <row r="106" spans="2:7" x14ac:dyDescent="0.2">
      <c r="B106" s="221"/>
      <c r="D106" s="241" t="s">
        <v>193</v>
      </c>
      <c r="E106" s="28">
        <v>7.7727651223540297E-3</v>
      </c>
      <c r="F106" s="4">
        <v>2</v>
      </c>
      <c r="G106" s="227">
        <v>1</v>
      </c>
    </row>
    <row r="107" spans="2:7" x14ac:dyDescent="0.2">
      <c r="B107" s="221"/>
      <c r="D107" s="241" t="s">
        <v>168</v>
      </c>
      <c r="E107" s="28">
        <v>3.7997291423380312E-2</v>
      </c>
      <c r="F107" s="4">
        <v>35</v>
      </c>
      <c r="G107" s="227">
        <v>2</v>
      </c>
    </row>
    <row r="108" spans="2:7" x14ac:dyDescent="0.2">
      <c r="B108" s="221"/>
      <c r="D108" s="241" t="s">
        <v>92</v>
      </c>
      <c r="E108" s="28">
        <v>0.35078749526292052</v>
      </c>
      <c r="F108" s="4">
        <v>148</v>
      </c>
      <c r="G108" s="227">
        <v>11</v>
      </c>
    </row>
    <row r="109" spans="2:7" x14ac:dyDescent="0.2">
      <c r="B109" s="221"/>
      <c r="D109" s="241" t="s">
        <v>93</v>
      </c>
      <c r="E109" s="28">
        <v>0.37858949974179251</v>
      </c>
      <c r="F109" s="4">
        <v>328</v>
      </c>
      <c r="G109" s="227">
        <v>4</v>
      </c>
    </row>
    <row r="110" spans="2:7" x14ac:dyDescent="0.2">
      <c r="B110" s="221"/>
      <c r="D110" s="241" t="s">
        <v>56</v>
      </c>
      <c r="E110" s="28">
        <v>0.197860029526054</v>
      </c>
      <c r="F110" s="4">
        <v>44</v>
      </c>
      <c r="G110" s="227">
        <v>1</v>
      </c>
    </row>
    <row r="111" spans="2:7" x14ac:dyDescent="0.2">
      <c r="B111" s="221"/>
      <c r="D111" s="241" t="s">
        <v>114</v>
      </c>
      <c r="E111" s="28">
        <v>0.14048403967171899</v>
      </c>
      <c r="F111" s="4">
        <v>17</v>
      </c>
      <c r="G111" s="227">
        <v>1</v>
      </c>
    </row>
    <row r="112" spans="2:7" x14ac:dyDescent="0.2">
      <c r="B112" s="221"/>
      <c r="D112" s="241" t="s">
        <v>115</v>
      </c>
      <c r="E112" s="28">
        <v>0.27092688716947999</v>
      </c>
      <c r="F112" s="4">
        <v>281</v>
      </c>
      <c r="G112" s="227">
        <v>2</v>
      </c>
    </row>
    <row r="113" spans="2:7" x14ac:dyDescent="0.2">
      <c r="B113" s="221"/>
      <c r="D113" s="241" t="s">
        <v>94</v>
      </c>
      <c r="E113" s="28">
        <v>3.4871123731136267E-2</v>
      </c>
      <c r="F113" s="4">
        <v>10</v>
      </c>
      <c r="G113" s="227">
        <v>3</v>
      </c>
    </row>
    <row r="114" spans="2:7" x14ac:dyDescent="0.2">
      <c r="B114" s="221"/>
      <c r="D114" s="241" t="s">
        <v>95</v>
      </c>
      <c r="E114" s="28">
        <v>4.5822050422429997E-2</v>
      </c>
      <c r="F114" s="4">
        <v>25</v>
      </c>
      <c r="G114" s="227">
        <v>5</v>
      </c>
    </row>
    <row r="115" spans="2:7" x14ac:dyDescent="0.2">
      <c r="B115" s="221"/>
      <c r="D115" s="241" t="s">
        <v>96</v>
      </c>
      <c r="E115" s="28">
        <v>0.16829244513064601</v>
      </c>
      <c r="F115" s="4">
        <v>208</v>
      </c>
      <c r="G115" s="227">
        <v>5</v>
      </c>
    </row>
    <row r="116" spans="2:7" x14ac:dyDescent="0.2">
      <c r="B116" s="221"/>
      <c r="D116" s="241" t="s">
        <v>173</v>
      </c>
      <c r="E116" s="28">
        <v>0.25821026507764999</v>
      </c>
      <c r="F116" s="4">
        <v>62</v>
      </c>
      <c r="G116" s="227">
        <v>1</v>
      </c>
    </row>
    <row r="117" spans="2:7" x14ac:dyDescent="0.2">
      <c r="B117" s="221"/>
      <c r="D117" s="241" t="s">
        <v>195</v>
      </c>
      <c r="E117" s="28">
        <v>2.1719126962125201E-2</v>
      </c>
      <c r="F117" s="4">
        <v>17</v>
      </c>
      <c r="G117" s="227">
        <v>2</v>
      </c>
    </row>
    <row r="118" spans="2:7" x14ac:dyDescent="0.2">
      <c r="B118" s="221"/>
      <c r="D118" s="241" t="s">
        <v>97</v>
      </c>
      <c r="E118" s="28">
        <v>50.490387670695718</v>
      </c>
      <c r="F118" s="4">
        <v>7940</v>
      </c>
      <c r="G118" s="227">
        <v>5</v>
      </c>
    </row>
    <row r="119" spans="2:7" x14ac:dyDescent="0.2">
      <c r="B119" s="221"/>
      <c r="D119" s="241" t="s">
        <v>57</v>
      </c>
      <c r="E119" s="28">
        <v>0.48288696538656772</v>
      </c>
      <c r="F119" s="4">
        <v>710</v>
      </c>
      <c r="G119" s="227">
        <v>9</v>
      </c>
    </row>
    <row r="120" spans="2:7" x14ac:dyDescent="0.2">
      <c r="B120" s="221"/>
      <c r="D120" s="241" t="s">
        <v>116</v>
      </c>
      <c r="E120" s="28">
        <v>6.6122041083872304E-2</v>
      </c>
      <c r="F120" s="4">
        <v>14</v>
      </c>
      <c r="G120" s="227">
        <v>1</v>
      </c>
    </row>
    <row r="121" spans="2:7" x14ac:dyDescent="0.2">
      <c r="B121" s="221"/>
      <c r="D121" s="241" t="s">
        <v>163</v>
      </c>
      <c r="E121" s="28">
        <v>7.9457188025116907E-2</v>
      </c>
      <c r="F121" s="4">
        <v>53</v>
      </c>
      <c r="G121" s="227">
        <v>3</v>
      </c>
    </row>
    <row r="122" spans="2:7" x14ac:dyDescent="0.2">
      <c r="B122" s="221"/>
      <c r="D122" s="241" t="s">
        <v>98</v>
      </c>
      <c r="E122" s="28">
        <v>1190126.7316106334</v>
      </c>
      <c r="F122" s="4">
        <v>378923385</v>
      </c>
      <c r="G122" s="227">
        <v>2</v>
      </c>
    </row>
    <row r="123" spans="2:7" x14ac:dyDescent="0.2">
      <c r="B123" s="221"/>
      <c r="D123" s="241" t="s">
        <v>117</v>
      </c>
      <c r="E123" s="28">
        <v>0.75502177886664801</v>
      </c>
      <c r="F123" s="4">
        <v>74</v>
      </c>
      <c r="G123" s="227">
        <v>4</v>
      </c>
    </row>
    <row r="124" spans="2:7" x14ac:dyDescent="0.2">
      <c r="B124" s="221"/>
      <c r="D124" s="241" t="s">
        <v>99</v>
      </c>
      <c r="E124" s="28">
        <v>3.9413589062169101</v>
      </c>
      <c r="F124" s="4">
        <v>904</v>
      </c>
      <c r="G124" s="227">
        <v>5</v>
      </c>
    </row>
    <row r="125" spans="2:7" x14ac:dyDescent="0.2">
      <c r="B125" s="221"/>
      <c r="D125" s="241" t="s">
        <v>118</v>
      </c>
      <c r="E125" s="28">
        <v>2.6295495219528599E-2</v>
      </c>
      <c r="F125" s="4">
        <v>18</v>
      </c>
      <c r="G125" s="227">
        <v>4</v>
      </c>
    </row>
    <row r="126" spans="2:7" x14ac:dyDescent="0.2">
      <c r="B126" s="221"/>
      <c r="D126" s="241" t="s">
        <v>100</v>
      </c>
      <c r="E126" s="28">
        <v>6.5586464479565603E-3</v>
      </c>
      <c r="F126" s="4">
        <v>3</v>
      </c>
      <c r="G126" s="227">
        <v>1</v>
      </c>
    </row>
    <row r="127" spans="2:7" x14ac:dyDescent="0.2">
      <c r="B127" s="221"/>
      <c r="D127" s="241" t="s">
        <v>101</v>
      </c>
      <c r="E127" s="28">
        <v>0.31009471416473322</v>
      </c>
      <c r="F127" s="4">
        <v>289</v>
      </c>
      <c r="G127" s="227">
        <v>13</v>
      </c>
    </row>
    <row r="128" spans="2:7" x14ac:dyDescent="0.2">
      <c r="B128" s="221"/>
      <c r="D128" s="241" t="s">
        <v>102</v>
      </c>
      <c r="E128" s="28">
        <v>9.8712704144418198E-2</v>
      </c>
      <c r="F128" s="4">
        <v>111</v>
      </c>
      <c r="G128" s="227">
        <v>8</v>
      </c>
    </row>
    <row r="129" spans="2:7" x14ac:dyDescent="0.2">
      <c r="B129" s="221"/>
      <c r="D129" s="241" t="s">
        <v>103</v>
      </c>
      <c r="E129" s="28">
        <v>1.6271910630166499E-2</v>
      </c>
      <c r="F129" s="4">
        <v>7</v>
      </c>
      <c r="G129" s="227">
        <v>2</v>
      </c>
    </row>
    <row r="130" spans="2:7" x14ac:dyDescent="0.2">
      <c r="B130" s="221"/>
      <c r="D130" s="241" t="s">
        <v>58</v>
      </c>
      <c r="E130" s="28">
        <v>3.2136317417025522</v>
      </c>
      <c r="F130" s="4">
        <v>1470</v>
      </c>
      <c r="G130" s="227">
        <v>14</v>
      </c>
    </row>
    <row r="131" spans="2:7" x14ac:dyDescent="0.2">
      <c r="B131" s="221"/>
      <c r="D131" s="241" t="s">
        <v>59</v>
      </c>
      <c r="E131" s="28">
        <v>58580.64049732389</v>
      </c>
      <c r="F131" s="4">
        <v>16943422</v>
      </c>
      <c r="G131" s="227">
        <v>141</v>
      </c>
    </row>
    <row r="132" spans="2:7" x14ac:dyDescent="0.2">
      <c r="B132" s="221"/>
      <c r="D132" s="241" t="s">
        <v>157</v>
      </c>
      <c r="E132" s="28">
        <v>8.3425515331327901E-2</v>
      </c>
      <c r="F132" s="4">
        <v>18</v>
      </c>
      <c r="G132" s="227">
        <v>2</v>
      </c>
    </row>
    <row r="133" spans="2:7" x14ac:dyDescent="0.2">
      <c r="B133" s="221"/>
      <c r="D133" s="241" t="s">
        <v>104</v>
      </c>
      <c r="E133" s="28">
        <v>2.3945978842675599E-2</v>
      </c>
      <c r="F133" s="4">
        <v>32</v>
      </c>
      <c r="G133" s="227">
        <v>2</v>
      </c>
    </row>
    <row r="134" spans="2:7" ht="17" thickBot="1" x14ac:dyDescent="0.25">
      <c r="B134" s="221"/>
      <c r="D134" s="241" t="s">
        <v>106</v>
      </c>
      <c r="E134" s="28">
        <v>2.9925214126706099E-2</v>
      </c>
      <c r="F134" s="4">
        <v>4</v>
      </c>
      <c r="G134" s="227">
        <v>1</v>
      </c>
    </row>
    <row r="135" spans="2:7" ht="17" thickBot="1" x14ac:dyDescent="0.25">
      <c r="B135" s="221"/>
      <c r="C135" s="224" t="s">
        <v>41</v>
      </c>
      <c r="D135" s="235"/>
      <c r="E135" s="236">
        <v>62.702269048429969</v>
      </c>
      <c r="F135" s="237">
        <v>11690</v>
      </c>
      <c r="G135" s="242">
        <v>37</v>
      </c>
    </row>
    <row r="136" spans="2:7" x14ac:dyDescent="0.2">
      <c r="B136" s="221"/>
      <c r="D136" s="241" t="s">
        <v>63</v>
      </c>
      <c r="E136" s="28">
        <v>2.1212029270827701E-2</v>
      </c>
      <c r="F136" s="4">
        <v>21</v>
      </c>
      <c r="G136" s="227">
        <v>2</v>
      </c>
    </row>
    <row r="137" spans="2:7" x14ac:dyDescent="0.2">
      <c r="B137" s="221"/>
      <c r="D137" s="241" t="s">
        <v>108</v>
      </c>
      <c r="E137" s="28">
        <v>0.14886035211384241</v>
      </c>
      <c r="F137" s="4">
        <v>69</v>
      </c>
      <c r="G137" s="227">
        <v>4</v>
      </c>
    </row>
    <row r="138" spans="2:7" x14ac:dyDescent="0.2">
      <c r="B138" s="221"/>
      <c r="D138" s="241" t="s">
        <v>170</v>
      </c>
      <c r="E138" s="28">
        <v>1.0448163375258401E-2</v>
      </c>
      <c r="F138" s="4">
        <v>10</v>
      </c>
      <c r="G138" s="227">
        <v>1</v>
      </c>
    </row>
    <row r="139" spans="2:7" x14ac:dyDescent="0.2">
      <c r="B139" s="221"/>
      <c r="D139" s="241" t="s">
        <v>68</v>
      </c>
      <c r="E139" s="28">
        <v>1.62005415186285E-2</v>
      </c>
      <c r="F139" s="4">
        <v>1</v>
      </c>
      <c r="G139" s="227">
        <v>1</v>
      </c>
    </row>
    <row r="140" spans="2:7" x14ac:dyDescent="0.2">
      <c r="B140" s="221"/>
      <c r="D140" s="241" t="s">
        <v>70</v>
      </c>
      <c r="E140" s="28">
        <v>1.2500406242907E-2</v>
      </c>
      <c r="F140" s="4">
        <v>6</v>
      </c>
      <c r="G140" s="227">
        <v>2</v>
      </c>
    </row>
    <row r="141" spans="2:7" x14ac:dyDescent="0.2">
      <c r="B141" s="221"/>
      <c r="D141" s="241" t="s">
        <v>107</v>
      </c>
      <c r="E141" s="28">
        <v>1.78362595569342</v>
      </c>
      <c r="F141" s="4">
        <v>188</v>
      </c>
      <c r="G141" s="227">
        <v>1</v>
      </c>
    </row>
    <row r="142" spans="2:7" x14ac:dyDescent="0.2">
      <c r="B142" s="221"/>
      <c r="D142" s="241" t="s">
        <v>72</v>
      </c>
      <c r="E142" s="28">
        <v>7.3614682070910847E-2</v>
      </c>
      <c r="F142" s="4">
        <v>7</v>
      </c>
      <c r="G142" s="227">
        <v>2</v>
      </c>
    </row>
    <row r="143" spans="2:7" x14ac:dyDescent="0.2">
      <c r="B143" s="221"/>
      <c r="D143" s="241" t="s">
        <v>79</v>
      </c>
      <c r="E143" s="28">
        <v>17.076551833189999</v>
      </c>
      <c r="F143" s="4">
        <v>1848</v>
      </c>
      <c r="G143" s="227">
        <v>2</v>
      </c>
    </row>
    <row r="144" spans="2:7" x14ac:dyDescent="0.2">
      <c r="B144" s="221"/>
      <c r="D144" s="241" t="s">
        <v>83</v>
      </c>
      <c r="E144" s="28">
        <v>0.21730215195566327</v>
      </c>
      <c r="F144" s="4">
        <v>139</v>
      </c>
      <c r="G144" s="227">
        <v>3</v>
      </c>
    </row>
    <row r="145" spans="2:7" x14ac:dyDescent="0.2">
      <c r="B145" s="221"/>
      <c r="D145" s="241" t="s">
        <v>110</v>
      </c>
      <c r="E145" s="28">
        <v>1.46933095529675E-2</v>
      </c>
      <c r="F145" s="4">
        <v>1</v>
      </c>
      <c r="G145" s="227">
        <v>1</v>
      </c>
    </row>
    <row r="146" spans="2:7" x14ac:dyDescent="0.2">
      <c r="B146" s="221"/>
      <c r="D146" s="241" t="s">
        <v>189</v>
      </c>
      <c r="E146" s="28">
        <v>1.36364828795194E-2</v>
      </c>
      <c r="F146" s="4">
        <v>1</v>
      </c>
      <c r="G146" s="227">
        <v>1</v>
      </c>
    </row>
    <row r="147" spans="2:7" x14ac:dyDescent="0.2">
      <c r="B147" s="221"/>
      <c r="D147" s="241" t="s">
        <v>91</v>
      </c>
      <c r="E147" s="28">
        <v>1.6135465353727299E-2</v>
      </c>
      <c r="F147" s="4">
        <v>1</v>
      </c>
      <c r="G147" s="227">
        <v>1</v>
      </c>
    </row>
    <row r="148" spans="2:7" x14ac:dyDescent="0.2">
      <c r="B148" s="221"/>
      <c r="D148" s="241" t="s">
        <v>92</v>
      </c>
      <c r="E148" s="28">
        <v>1.6166831366717802E-2</v>
      </c>
      <c r="F148" s="4">
        <v>1</v>
      </c>
      <c r="G148" s="227">
        <v>1</v>
      </c>
    </row>
    <row r="149" spans="2:7" x14ac:dyDescent="0.2">
      <c r="B149" s="221"/>
      <c r="D149" s="241" t="s">
        <v>97</v>
      </c>
      <c r="E149" s="28">
        <v>5.2344459109008298E-2</v>
      </c>
      <c r="F149" s="4">
        <v>3</v>
      </c>
      <c r="G149" s="227">
        <v>1</v>
      </c>
    </row>
    <row r="150" spans="2:7" x14ac:dyDescent="0.2">
      <c r="B150" s="221"/>
      <c r="D150" s="241" t="s">
        <v>98</v>
      </c>
      <c r="E150" s="28">
        <v>0.91204234492033698</v>
      </c>
      <c r="F150" s="4">
        <v>259</v>
      </c>
      <c r="G150" s="227">
        <v>1</v>
      </c>
    </row>
    <row r="151" spans="2:7" x14ac:dyDescent="0.2">
      <c r="B151" s="221"/>
      <c r="D151" s="241" t="s">
        <v>58</v>
      </c>
      <c r="E151" s="28">
        <v>1.0775178670883101E-2</v>
      </c>
      <c r="F151" s="4">
        <v>1</v>
      </c>
      <c r="G151" s="227">
        <v>1</v>
      </c>
    </row>
    <row r="152" spans="2:7" ht="17" thickBot="1" x14ac:dyDescent="0.25">
      <c r="B152" s="221"/>
      <c r="D152" s="241" t="s">
        <v>59</v>
      </c>
      <c r="E152" s="28">
        <v>42.306158861145349</v>
      </c>
      <c r="F152" s="4">
        <v>9134</v>
      </c>
      <c r="G152" s="227">
        <v>12</v>
      </c>
    </row>
    <row r="153" spans="2:7" ht="17" thickBot="1" x14ac:dyDescent="0.25">
      <c r="B153" s="221"/>
      <c r="C153" s="224" t="s">
        <v>139</v>
      </c>
      <c r="D153" s="235"/>
      <c r="E153" s="236">
        <v>21044.885569944945</v>
      </c>
      <c r="F153" s="237">
        <v>146606</v>
      </c>
      <c r="G153" s="242">
        <v>186</v>
      </c>
    </row>
    <row r="154" spans="2:7" x14ac:dyDescent="0.2">
      <c r="B154" s="221"/>
      <c r="D154" s="241" t="s">
        <v>61</v>
      </c>
      <c r="E154" s="28">
        <v>0.49200030788779203</v>
      </c>
      <c r="F154" s="4">
        <v>29</v>
      </c>
      <c r="G154" s="227">
        <v>2</v>
      </c>
    </row>
    <row r="155" spans="2:7" x14ac:dyDescent="0.2">
      <c r="B155" s="221"/>
      <c r="D155" s="241" t="s">
        <v>62</v>
      </c>
      <c r="E155" s="28">
        <v>2.4365708231925899E-3</v>
      </c>
      <c r="F155" s="4">
        <v>12</v>
      </c>
      <c r="G155" s="227">
        <v>2</v>
      </c>
    </row>
    <row r="156" spans="2:7" x14ac:dyDescent="0.2">
      <c r="B156" s="221"/>
      <c r="D156" s="241" t="s">
        <v>63</v>
      </c>
      <c r="E156" s="28">
        <v>0.15534717217087701</v>
      </c>
      <c r="F156" s="4">
        <v>91</v>
      </c>
      <c r="G156" s="227">
        <v>1</v>
      </c>
    </row>
    <row r="157" spans="2:7" x14ac:dyDescent="0.2">
      <c r="B157" s="221"/>
      <c r="D157" s="241" t="s">
        <v>65</v>
      </c>
      <c r="E157" s="28">
        <v>0.42235565558075899</v>
      </c>
      <c r="F157" s="4">
        <v>2</v>
      </c>
      <c r="G157" s="227">
        <v>1</v>
      </c>
    </row>
    <row r="158" spans="2:7" x14ac:dyDescent="0.2">
      <c r="B158" s="221"/>
      <c r="D158" s="241" t="s">
        <v>68</v>
      </c>
      <c r="E158" s="28">
        <v>456.86922632902792</v>
      </c>
      <c r="F158" s="4">
        <v>3117</v>
      </c>
      <c r="G158" s="227">
        <v>17</v>
      </c>
    </row>
    <row r="159" spans="2:7" x14ac:dyDescent="0.2">
      <c r="B159" s="221"/>
      <c r="D159" s="241" t="s">
        <v>70</v>
      </c>
      <c r="E159" s="28">
        <v>31.8013639859855</v>
      </c>
      <c r="F159" s="4">
        <v>1408</v>
      </c>
      <c r="G159" s="227">
        <v>3</v>
      </c>
    </row>
    <row r="160" spans="2:7" x14ac:dyDescent="0.2">
      <c r="B160" s="221"/>
      <c r="D160" s="241" t="s">
        <v>107</v>
      </c>
      <c r="E160" s="28">
        <v>53.303331500850604</v>
      </c>
      <c r="F160" s="4">
        <v>415</v>
      </c>
      <c r="G160" s="227">
        <v>8</v>
      </c>
    </row>
    <row r="161" spans="2:7" x14ac:dyDescent="0.2">
      <c r="B161" s="221"/>
      <c r="D161" s="241" t="s">
        <v>75</v>
      </c>
      <c r="E161" s="28">
        <v>0.46159505750983876</v>
      </c>
      <c r="F161" s="4">
        <v>567</v>
      </c>
      <c r="G161" s="227">
        <v>3</v>
      </c>
    </row>
    <row r="162" spans="2:7" x14ac:dyDescent="0.2">
      <c r="B162" s="221"/>
      <c r="D162" s="241" t="s">
        <v>76</v>
      </c>
      <c r="E162" s="28">
        <v>4.5435735955834302E-3</v>
      </c>
      <c r="F162" s="4">
        <v>137</v>
      </c>
      <c r="G162" s="227">
        <v>4</v>
      </c>
    </row>
    <row r="163" spans="2:7" x14ac:dyDescent="0.2">
      <c r="B163" s="221"/>
      <c r="D163" s="241" t="s">
        <v>54</v>
      </c>
      <c r="E163" s="28">
        <v>0.21637072879821001</v>
      </c>
      <c r="F163" s="4">
        <v>90</v>
      </c>
      <c r="G163" s="227">
        <v>1</v>
      </c>
    </row>
    <row r="164" spans="2:7" x14ac:dyDescent="0.2">
      <c r="B164" s="221"/>
      <c r="D164" s="241" t="s">
        <v>167</v>
      </c>
      <c r="E164" s="28">
        <v>5.5484585464000702E-3</v>
      </c>
      <c r="F164" s="4">
        <v>23</v>
      </c>
      <c r="G164" s="227">
        <v>1</v>
      </c>
    </row>
    <row r="165" spans="2:7" x14ac:dyDescent="0.2">
      <c r="B165" s="221"/>
      <c r="D165" s="241" t="s">
        <v>79</v>
      </c>
      <c r="E165" s="28">
        <v>76.194823488593073</v>
      </c>
      <c r="F165" s="4">
        <v>283</v>
      </c>
      <c r="G165" s="227">
        <v>2</v>
      </c>
    </row>
    <row r="166" spans="2:7" x14ac:dyDescent="0.2">
      <c r="B166" s="221"/>
      <c r="D166" s="241" t="s">
        <v>80</v>
      </c>
      <c r="E166" s="28">
        <v>462.07785630226101</v>
      </c>
      <c r="F166" s="4">
        <v>1419</v>
      </c>
      <c r="G166" s="227">
        <v>1</v>
      </c>
    </row>
    <row r="167" spans="2:7" x14ac:dyDescent="0.2">
      <c r="B167" s="221"/>
      <c r="D167" s="241" t="s">
        <v>81</v>
      </c>
      <c r="E167" s="28">
        <v>24.163755070418119</v>
      </c>
      <c r="F167" s="4">
        <v>770</v>
      </c>
      <c r="G167" s="227">
        <v>4</v>
      </c>
    </row>
    <row r="168" spans="2:7" x14ac:dyDescent="0.2">
      <c r="B168" s="221"/>
      <c r="D168" s="241" t="s">
        <v>84</v>
      </c>
      <c r="E168" s="28">
        <v>0.28211926668882298</v>
      </c>
      <c r="F168" s="4">
        <v>292</v>
      </c>
      <c r="G168" s="227">
        <v>1</v>
      </c>
    </row>
    <row r="169" spans="2:7" x14ac:dyDescent="0.2">
      <c r="B169" s="221"/>
      <c r="D169" s="241" t="s">
        <v>110</v>
      </c>
      <c r="E169" s="28">
        <v>0.41611256357282361</v>
      </c>
      <c r="F169" s="4">
        <v>69</v>
      </c>
      <c r="G169" s="227">
        <v>2</v>
      </c>
    </row>
    <row r="170" spans="2:7" x14ac:dyDescent="0.2">
      <c r="B170" s="221"/>
      <c r="D170" s="241" t="s">
        <v>86</v>
      </c>
      <c r="E170" s="28">
        <v>537.52374576963439</v>
      </c>
      <c r="F170" s="4">
        <v>1478</v>
      </c>
      <c r="G170" s="227">
        <v>9</v>
      </c>
    </row>
    <row r="171" spans="2:7" x14ac:dyDescent="0.2">
      <c r="B171" s="221"/>
      <c r="D171" s="241" t="s">
        <v>89</v>
      </c>
      <c r="E171" s="28">
        <v>270.72386159747799</v>
      </c>
      <c r="F171" s="4">
        <v>704</v>
      </c>
      <c r="G171" s="227">
        <v>1</v>
      </c>
    </row>
    <row r="172" spans="2:7" x14ac:dyDescent="0.2">
      <c r="B172" s="221"/>
      <c r="D172" s="241" t="s">
        <v>90</v>
      </c>
      <c r="E172" s="28">
        <v>2.9009673744440001E-3</v>
      </c>
      <c r="F172" s="4">
        <v>11</v>
      </c>
      <c r="G172" s="227">
        <v>1</v>
      </c>
    </row>
    <row r="173" spans="2:7" x14ac:dyDescent="0.2">
      <c r="B173" s="221"/>
      <c r="D173" s="241" t="s">
        <v>56</v>
      </c>
      <c r="E173" s="28">
        <v>1.0036025196313799E-3</v>
      </c>
      <c r="F173" s="4">
        <v>26</v>
      </c>
      <c r="G173" s="227">
        <v>1</v>
      </c>
    </row>
    <row r="174" spans="2:7" x14ac:dyDescent="0.2">
      <c r="B174" s="221"/>
      <c r="D174" s="241" t="s">
        <v>94</v>
      </c>
      <c r="E174" s="28">
        <v>0.63451105449348688</v>
      </c>
      <c r="F174" s="4">
        <v>16</v>
      </c>
      <c r="G174" s="227">
        <v>2</v>
      </c>
    </row>
    <row r="175" spans="2:7" x14ac:dyDescent="0.2">
      <c r="B175" s="221"/>
      <c r="D175" s="241" t="s">
        <v>57</v>
      </c>
      <c r="E175" s="28">
        <v>153.8625677404921</v>
      </c>
      <c r="F175" s="4">
        <v>993</v>
      </c>
      <c r="G175" s="227">
        <v>8</v>
      </c>
    </row>
    <row r="176" spans="2:7" x14ac:dyDescent="0.2">
      <c r="B176" s="221"/>
      <c r="D176" s="241" t="s">
        <v>98</v>
      </c>
      <c r="E176" s="28">
        <v>3427.5716958688499</v>
      </c>
      <c r="F176" s="4">
        <v>55944</v>
      </c>
      <c r="G176" s="227">
        <v>1</v>
      </c>
    </row>
    <row r="177" spans="2:7" x14ac:dyDescent="0.2">
      <c r="B177" s="221"/>
      <c r="D177" s="241" t="s">
        <v>101</v>
      </c>
      <c r="E177" s="28">
        <v>68.881008801981778</v>
      </c>
      <c r="F177" s="4">
        <v>770</v>
      </c>
      <c r="G177" s="227">
        <v>2</v>
      </c>
    </row>
    <row r="178" spans="2:7" x14ac:dyDescent="0.2">
      <c r="B178" s="221"/>
      <c r="D178" s="241" t="s">
        <v>59</v>
      </c>
      <c r="E178" s="28">
        <v>15466.299379403679</v>
      </c>
      <c r="F178" s="4">
        <v>75570</v>
      </c>
      <c r="G178" s="227">
        <v>106</v>
      </c>
    </row>
    <row r="179" spans="2:7" ht="17" thickBot="1" x14ac:dyDescent="0.25">
      <c r="B179" s="221"/>
      <c r="D179" s="241" t="s">
        <v>60</v>
      </c>
      <c r="E179" s="28">
        <v>12.5161091061308</v>
      </c>
      <c r="F179" s="4">
        <v>2370</v>
      </c>
      <c r="G179" s="227">
        <v>2</v>
      </c>
    </row>
    <row r="180" spans="2:7" ht="17" thickBot="1" x14ac:dyDescent="0.25">
      <c r="B180" s="221"/>
      <c r="C180" s="224" t="s">
        <v>174</v>
      </c>
      <c r="D180" s="235"/>
      <c r="E180" s="236">
        <v>1.2329200282692901E-2</v>
      </c>
      <c r="F180" s="237">
        <v>264</v>
      </c>
      <c r="G180" s="242">
        <v>2</v>
      </c>
    </row>
    <row r="181" spans="2:7" ht="17" thickBot="1" x14ac:dyDescent="0.25">
      <c r="B181" s="221"/>
      <c r="D181" s="241" t="s">
        <v>59</v>
      </c>
      <c r="E181" s="28">
        <v>1.2329200282692901E-2</v>
      </c>
      <c r="F181" s="4">
        <v>264</v>
      </c>
      <c r="G181" s="227">
        <v>2</v>
      </c>
    </row>
    <row r="182" spans="2:7" ht="17" thickBot="1" x14ac:dyDescent="0.25">
      <c r="B182" s="221"/>
      <c r="C182" s="224" t="s">
        <v>142</v>
      </c>
      <c r="D182" s="235"/>
      <c r="E182" s="236">
        <v>29773.865332226247</v>
      </c>
      <c r="F182" s="237">
        <v>64475</v>
      </c>
      <c r="G182" s="242">
        <v>318</v>
      </c>
    </row>
    <row r="183" spans="2:7" x14ac:dyDescent="0.2">
      <c r="B183" s="221"/>
      <c r="D183" s="241" t="s">
        <v>61</v>
      </c>
      <c r="E183" s="28">
        <v>8.3818696439266205E-3</v>
      </c>
      <c r="F183" s="4">
        <v>18</v>
      </c>
      <c r="G183" s="227">
        <v>1</v>
      </c>
    </row>
    <row r="184" spans="2:7" x14ac:dyDescent="0.2">
      <c r="B184" s="221"/>
      <c r="D184" s="241" t="s">
        <v>62</v>
      </c>
      <c r="E184" s="28">
        <v>0.61942003946751301</v>
      </c>
      <c r="F184" s="4">
        <v>770</v>
      </c>
      <c r="G184" s="227">
        <v>3</v>
      </c>
    </row>
    <row r="185" spans="2:7" x14ac:dyDescent="0.2">
      <c r="B185" s="221"/>
      <c r="D185" s="241" t="s">
        <v>63</v>
      </c>
      <c r="E185" s="28">
        <v>1.2448143213987278E-2</v>
      </c>
      <c r="F185" s="4">
        <v>25</v>
      </c>
      <c r="G185" s="227">
        <v>2</v>
      </c>
    </row>
    <row r="186" spans="2:7" x14ac:dyDescent="0.2">
      <c r="B186" s="221"/>
      <c r="D186" s="241" t="s">
        <v>164</v>
      </c>
      <c r="E186" s="28">
        <v>4.0424358099699E-2</v>
      </c>
      <c r="F186" s="4">
        <v>25</v>
      </c>
      <c r="G186" s="227">
        <v>1</v>
      </c>
    </row>
    <row r="187" spans="2:7" x14ac:dyDescent="0.2">
      <c r="B187" s="221"/>
      <c r="D187" s="241" t="s">
        <v>108</v>
      </c>
      <c r="E187" s="28">
        <v>1.3277351856231599E-2</v>
      </c>
      <c r="F187" s="4">
        <v>29</v>
      </c>
      <c r="G187" s="227">
        <v>2</v>
      </c>
    </row>
    <row r="188" spans="2:7" x14ac:dyDescent="0.2">
      <c r="B188" s="221"/>
      <c r="D188" s="241" t="s">
        <v>66</v>
      </c>
      <c r="E188" s="28">
        <v>2.0868647843599299E-2</v>
      </c>
      <c r="F188" s="4">
        <v>51</v>
      </c>
      <c r="G188" s="227">
        <v>6</v>
      </c>
    </row>
    <row r="189" spans="2:7" x14ac:dyDescent="0.2">
      <c r="B189" s="221"/>
      <c r="D189" s="241" t="s">
        <v>67</v>
      </c>
      <c r="E189" s="28">
        <v>0.26961485855281297</v>
      </c>
      <c r="F189" s="4">
        <v>321</v>
      </c>
      <c r="G189" s="227">
        <v>12</v>
      </c>
    </row>
    <row r="190" spans="2:7" x14ac:dyDescent="0.2">
      <c r="B190" s="221"/>
      <c r="D190" s="241" t="s">
        <v>109</v>
      </c>
      <c r="E190" s="28">
        <v>1.7631705850362699E-4</v>
      </c>
      <c r="F190" s="4">
        <v>19</v>
      </c>
      <c r="G190" s="227">
        <v>1</v>
      </c>
    </row>
    <row r="191" spans="2:7" x14ac:dyDescent="0.2">
      <c r="B191" s="221"/>
      <c r="D191" s="241" t="s">
        <v>170</v>
      </c>
      <c r="E191" s="28">
        <v>0.24844769481569501</v>
      </c>
      <c r="F191" s="4">
        <v>97</v>
      </c>
      <c r="G191" s="227">
        <v>1</v>
      </c>
    </row>
    <row r="192" spans="2:7" x14ac:dyDescent="0.2">
      <c r="B192" s="221"/>
      <c r="D192" s="241" t="s">
        <v>165</v>
      </c>
      <c r="E192" s="28">
        <v>4.2695775628089896E-3</v>
      </c>
      <c r="F192" s="4">
        <v>20</v>
      </c>
      <c r="G192" s="227">
        <v>1</v>
      </c>
    </row>
    <row r="193" spans="2:7" x14ac:dyDescent="0.2">
      <c r="B193" s="221"/>
      <c r="D193" s="241" t="s">
        <v>154</v>
      </c>
      <c r="E193" s="28">
        <v>5.53485006093978E-5</v>
      </c>
      <c r="F193" s="4">
        <v>6</v>
      </c>
      <c r="G193" s="227">
        <v>1</v>
      </c>
    </row>
    <row r="194" spans="2:7" x14ac:dyDescent="0.2">
      <c r="B194" s="221"/>
      <c r="D194" s="241" t="s">
        <v>68</v>
      </c>
      <c r="E194" s="28">
        <v>0.50386092439293773</v>
      </c>
      <c r="F194" s="4">
        <v>638</v>
      </c>
      <c r="G194" s="227">
        <v>15</v>
      </c>
    </row>
    <row r="195" spans="2:7" x14ac:dyDescent="0.2">
      <c r="B195" s="221"/>
      <c r="D195" s="241" t="s">
        <v>69</v>
      </c>
      <c r="E195" s="28">
        <v>6.1387562192976398E-2</v>
      </c>
      <c r="F195" s="4">
        <v>88</v>
      </c>
      <c r="G195" s="227">
        <v>2</v>
      </c>
    </row>
    <row r="196" spans="2:7" x14ac:dyDescent="0.2">
      <c r="B196" s="221"/>
      <c r="D196" s="241" t="s">
        <v>70</v>
      </c>
      <c r="E196" s="28">
        <v>2.3942140452563709</v>
      </c>
      <c r="F196" s="4">
        <v>748</v>
      </c>
      <c r="G196" s="227">
        <v>18</v>
      </c>
    </row>
    <row r="197" spans="2:7" x14ac:dyDescent="0.2">
      <c r="B197" s="221"/>
      <c r="D197" s="241" t="s">
        <v>71</v>
      </c>
      <c r="E197" s="28">
        <v>0.248342940583825</v>
      </c>
      <c r="F197" s="4">
        <v>592</v>
      </c>
      <c r="G197" s="227">
        <v>18</v>
      </c>
    </row>
    <row r="198" spans="2:7" x14ac:dyDescent="0.2">
      <c r="B198" s="221"/>
      <c r="D198" s="241" t="s">
        <v>182</v>
      </c>
      <c r="E198" s="28">
        <v>8.7147271260619094E-3</v>
      </c>
      <c r="F198" s="4">
        <v>59</v>
      </c>
      <c r="G198" s="227">
        <v>10</v>
      </c>
    </row>
    <row r="199" spans="2:7" x14ac:dyDescent="0.2">
      <c r="B199" s="221"/>
      <c r="D199" s="241" t="s">
        <v>72</v>
      </c>
      <c r="E199" s="28">
        <v>1.72071903944015E-3</v>
      </c>
      <c r="F199" s="4">
        <v>186</v>
      </c>
      <c r="G199" s="227">
        <v>3</v>
      </c>
    </row>
    <row r="200" spans="2:7" x14ac:dyDescent="0.2">
      <c r="B200" s="221"/>
      <c r="D200" s="241" t="s">
        <v>73</v>
      </c>
      <c r="E200" s="28">
        <v>5.57508319616317E-5</v>
      </c>
      <c r="F200" s="4">
        <v>6</v>
      </c>
      <c r="G200" s="227">
        <v>1</v>
      </c>
    </row>
    <row r="201" spans="2:7" x14ac:dyDescent="0.2">
      <c r="B201" s="221"/>
      <c r="D201" s="241" t="s">
        <v>74</v>
      </c>
      <c r="E201" s="28">
        <v>4.5509479008615003E-2</v>
      </c>
      <c r="F201" s="4">
        <v>119</v>
      </c>
      <c r="G201" s="227">
        <v>5</v>
      </c>
    </row>
    <row r="202" spans="2:7" x14ac:dyDescent="0.2">
      <c r="B202" s="221"/>
      <c r="D202" s="241" t="s">
        <v>166</v>
      </c>
      <c r="E202" s="28">
        <v>1.6367928124964199E-2</v>
      </c>
      <c r="F202" s="4">
        <v>22</v>
      </c>
      <c r="G202" s="227">
        <v>1</v>
      </c>
    </row>
    <row r="203" spans="2:7" x14ac:dyDescent="0.2">
      <c r="B203" s="221"/>
      <c r="D203" s="241" t="s">
        <v>75</v>
      </c>
      <c r="E203" s="28">
        <v>8.2486309111118303E-5</v>
      </c>
      <c r="F203" s="4">
        <v>9</v>
      </c>
      <c r="G203" s="227">
        <v>1</v>
      </c>
    </row>
    <row r="204" spans="2:7" x14ac:dyDescent="0.2">
      <c r="B204" s="221"/>
      <c r="D204" s="241" t="s">
        <v>76</v>
      </c>
      <c r="E204" s="28">
        <v>0.14330885093659099</v>
      </c>
      <c r="F204" s="4">
        <v>192</v>
      </c>
      <c r="G204" s="227">
        <v>7</v>
      </c>
    </row>
    <row r="205" spans="2:7" x14ac:dyDescent="0.2">
      <c r="B205" s="221"/>
      <c r="D205" s="241" t="s">
        <v>183</v>
      </c>
      <c r="E205" s="28">
        <v>1.86208635568618E-5</v>
      </c>
      <c r="F205" s="4">
        <v>2</v>
      </c>
      <c r="G205" s="227">
        <v>1</v>
      </c>
    </row>
    <row r="206" spans="2:7" x14ac:dyDescent="0.2">
      <c r="B206" s="221"/>
      <c r="D206" s="241" t="s">
        <v>77</v>
      </c>
      <c r="E206" s="28">
        <v>4.6383589506149197E-5</v>
      </c>
      <c r="F206" s="4">
        <v>5</v>
      </c>
      <c r="G206" s="227">
        <v>1</v>
      </c>
    </row>
    <row r="207" spans="2:7" x14ac:dyDescent="0.2">
      <c r="B207" s="221"/>
      <c r="D207" s="241" t="s">
        <v>54</v>
      </c>
      <c r="E207" s="28">
        <v>0.21542836911976301</v>
      </c>
      <c r="F207" s="4">
        <v>501</v>
      </c>
      <c r="G207" s="227">
        <v>8</v>
      </c>
    </row>
    <row r="208" spans="2:7" x14ac:dyDescent="0.2">
      <c r="B208" s="221"/>
      <c r="D208" s="241" t="s">
        <v>167</v>
      </c>
      <c r="E208" s="28">
        <v>6.29023471847176E-2</v>
      </c>
      <c r="F208" s="4">
        <v>24</v>
      </c>
      <c r="G208" s="227">
        <v>1</v>
      </c>
    </row>
    <row r="209" spans="2:7" x14ac:dyDescent="0.2">
      <c r="B209" s="221"/>
      <c r="D209" s="241" t="s">
        <v>79</v>
      </c>
      <c r="E209" s="28">
        <v>0.65225531533360404</v>
      </c>
      <c r="F209" s="4">
        <v>743</v>
      </c>
      <c r="G209" s="227">
        <v>17</v>
      </c>
    </row>
    <row r="210" spans="2:7" x14ac:dyDescent="0.2">
      <c r="B210" s="221"/>
      <c r="D210" s="241" t="s">
        <v>80</v>
      </c>
      <c r="E210" s="28">
        <v>1.24760940670967E-2</v>
      </c>
      <c r="F210" s="4">
        <v>26</v>
      </c>
      <c r="G210" s="227">
        <v>3</v>
      </c>
    </row>
    <row r="211" spans="2:7" x14ac:dyDescent="0.2">
      <c r="B211" s="221"/>
      <c r="D211" s="241" t="s">
        <v>81</v>
      </c>
      <c r="E211" s="28">
        <v>1.2292177416384199E-2</v>
      </c>
      <c r="F211" s="4">
        <v>9</v>
      </c>
      <c r="G211" s="227">
        <v>2</v>
      </c>
    </row>
    <row r="212" spans="2:7" x14ac:dyDescent="0.2">
      <c r="B212" s="221"/>
      <c r="D212" s="241" t="s">
        <v>82</v>
      </c>
      <c r="E212" s="28">
        <v>6.9408097304403699E-2</v>
      </c>
      <c r="F212" s="4">
        <v>53</v>
      </c>
      <c r="G212" s="227">
        <v>2</v>
      </c>
    </row>
    <row r="213" spans="2:7" x14ac:dyDescent="0.2">
      <c r="B213" s="221"/>
      <c r="D213" s="241" t="s">
        <v>185</v>
      </c>
      <c r="E213" s="28">
        <v>1.24794030562043E-2</v>
      </c>
      <c r="F213" s="4">
        <v>25</v>
      </c>
      <c r="G213" s="227">
        <v>1</v>
      </c>
    </row>
    <row r="214" spans="2:7" x14ac:dyDescent="0.2">
      <c r="B214" s="221"/>
      <c r="D214" s="241" t="s">
        <v>83</v>
      </c>
      <c r="E214" s="28">
        <v>8.2998398002237064</v>
      </c>
      <c r="F214" s="4">
        <v>152</v>
      </c>
      <c r="G214" s="227">
        <v>6</v>
      </c>
    </row>
    <row r="215" spans="2:7" x14ac:dyDescent="0.2">
      <c r="B215" s="221"/>
      <c r="D215" s="241" t="s">
        <v>84</v>
      </c>
      <c r="E215" s="28">
        <v>0.46908363606780701</v>
      </c>
      <c r="F215" s="4">
        <v>458</v>
      </c>
      <c r="G215" s="227">
        <v>6</v>
      </c>
    </row>
    <row r="216" spans="2:7" x14ac:dyDescent="0.2">
      <c r="B216" s="221"/>
      <c r="D216" s="241" t="s">
        <v>110</v>
      </c>
      <c r="E216" s="28">
        <v>1.2199975550174699E-2</v>
      </c>
      <c r="F216" s="4">
        <v>81</v>
      </c>
      <c r="G216" s="227">
        <v>2</v>
      </c>
    </row>
    <row r="217" spans="2:7" x14ac:dyDescent="0.2">
      <c r="B217" s="221"/>
      <c r="D217" s="241" t="s">
        <v>111</v>
      </c>
      <c r="E217" s="28">
        <v>9.0451107360422597E-2</v>
      </c>
      <c r="F217" s="4">
        <v>57</v>
      </c>
      <c r="G217" s="227">
        <v>1</v>
      </c>
    </row>
    <row r="218" spans="2:7" x14ac:dyDescent="0.2">
      <c r="B218" s="221"/>
      <c r="D218" s="241" t="s">
        <v>55</v>
      </c>
      <c r="E218" s="28">
        <v>0.19463452044874399</v>
      </c>
      <c r="F218" s="4">
        <v>134</v>
      </c>
      <c r="G218" s="227">
        <v>4</v>
      </c>
    </row>
    <row r="219" spans="2:7" x14ac:dyDescent="0.2">
      <c r="B219" s="221"/>
      <c r="D219" s="241" t="s">
        <v>85</v>
      </c>
      <c r="E219" s="28">
        <v>0.13859699014574201</v>
      </c>
      <c r="F219" s="4">
        <v>153</v>
      </c>
      <c r="G219" s="227">
        <v>2</v>
      </c>
    </row>
    <row r="220" spans="2:7" x14ac:dyDescent="0.2">
      <c r="B220" s="221"/>
      <c r="D220" s="241" t="s">
        <v>86</v>
      </c>
      <c r="E220" s="28">
        <v>4.6241338364779901E-2</v>
      </c>
      <c r="F220" s="4">
        <v>129</v>
      </c>
      <c r="G220" s="227">
        <v>2</v>
      </c>
    </row>
    <row r="221" spans="2:7" x14ac:dyDescent="0.2">
      <c r="B221" s="221"/>
      <c r="D221" s="241" t="s">
        <v>112</v>
      </c>
      <c r="E221" s="28">
        <v>6.46449625492095E-5</v>
      </c>
      <c r="F221" s="4">
        <v>7</v>
      </c>
      <c r="G221" s="227">
        <v>1</v>
      </c>
    </row>
    <row r="222" spans="2:7" x14ac:dyDescent="0.2">
      <c r="B222" s="221"/>
      <c r="D222" s="241" t="s">
        <v>87</v>
      </c>
      <c r="E222" s="28">
        <v>2.1235046032816123</v>
      </c>
      <c r="F222" s="4">
        <v>70</v>
      </c>
      <c r="G222" s="227">
        <v>5</v>
      </c>
    </row>
    <row r="223" spans="2:7" x14ac:dyDescent="0.2">
      <c r="B223" s="221"/>
      <c r="D223" s="241" t="s">
        <v>155</v>
      </c>
      <c r="E223" s="28">
        <v>4.8690917901694698E-2</v>
      </c>
      <c r="F223" s="4">
        <v>19</v>
      </c>
      <c r="G223" s="227">
        <v>1</v>
      </c>
    </row>
    <row r="224" spans="2:7" x14ac:dyDescent="0.2">
      <c r="B224" s="221"/>
      <c r="D224" s="241" t="s">
        <v>88</v>
      </c>
      <c r="E224" s="28">
        <v>1.2735036201774999E-2</v>
      </c>
      <c r="F224" s="4">
        <v>22</v>
      </c>
      <c r="G224" s="227">
        <v>2</v>
      </c>
    </row>
    <row r="225" spans="2:7" x14ac:dyDescent="0.2">
      <c r="B225" s="221"/>
      <c r="D225" s="241" t="s">
        <v>89</v>
      </c>
      <c r="E225" s="28">
        <v>2.22404021769762E-2</v>
      </c>
      <c r="F225" s="4">
        <v>106</v>
      </c>
      <c r="G225" s="227">
        <v>4</v>
      </c>
    </row>
    <row r="226" spans="2:7" x14ac:dyDescent="0.2">
      <c r="B226" s="221"/>
      <c r="D226" s="241" t="s">
        <v>156</v>
      </c>
      <c r="E226" s="28">
        <v>5.4851174354553202E-5</v>
      </c>
      <c r="F226" s="4">
        <v>6</v>
      </c>
      <c r="G226" s="227">
        <v>1</v>
      </c>
    </row>
    <row r="227" spans="2:7" x14ac:dyDescent="0.2">
      <c r="B227" s="221"/>
      <c r="D227" s="241" t="s">
        <v>90</v>
      </c>
      <c r="E227" s="28">
        <v>2.0767859183251791</v>
      </c>
      <c r="F227" s="4">
        <v>122</v>
      </c>
      <c r="G227" s="227">
        <v>3</v>
      </c>
    </row>
    <row r="228" spans="2:7" x14ac:dyDescent="0.2">
      <c r="B228" s="221"/>
      <c r="D228" s="241" t="s">
        <v>191</v>
      </c>
      <c r="E228" s="28">
        <v>8.6546381935477205E-3</v>
      </c>
      <c r="F228" s="4">
        <v>55</v>
      </c>
      <c r="G228" s="227">
        <v>1</v>
      </c>
    </row>
    <row r="229" spans="2:7" x14ac:dyDescent="0.2">
      <c r="B229" s="221"/>
      <c r="D229" s="241" t="s">
        <v>91</v>
      </c>
      <c r="E229" s="28">
        <v>2.1584691749885589</v>
      </c>
      <c r="F229" s="4">
        <v>90</v>
      </c>
      <c r="G229" s="227">
        <v>4</v>
      </c>
    </row>
    <row r="230" spans="2:7" x14ac:dyDescent="0.2">
      <c r="B230" s="221"/>
      <c r="D230" s="241" t="s">
        <v>192</v>
      </c>
      <c r="E230" s="28">
        <v>3.33156436681747E-4</v>
      </c>
      <c r="F230" s="4">
        <v>36</v>
      </c>
      <c r="G230" s="227">
        <v>1</v>
      </c>
    </row>
    <row r="231" spans="2:7" x14ac:dyDescent="0.2">
      <c r="B231" s="221"/>
      <c r="D231" s="241" t="s">
        <v>193</v>
      </c>
      <c r="E231" s="28">
        <v>4.66424971818923E-5</v>
      </c>
      <c r="F231" s="4">
        <v>5</v>
      </c>
      <c r="G231" s="227">
        <v>1</v>
      </c>
    </row>
    <row r="232" spans="2:7" x14ac:dyDescent="0.2">
      <c r="B232" s="221"/>
      <c r="D232" s="241" t="s">
        <v>92</v>
      </c>
      <c r="E232" s="28">
        <v>0.34565782826393798</v>
      </c>
      <c r="F232" s="4">
        <v>532</v>
      </c>
      <c r="G232" s="227">
        <v>6</v>
      </c>
    </row>
    <row r="233" spans="2:7" x14ac:dyDescent="0.2">
      <c r="B233" s="221"/>
      <c r="D233" s="241" t="s">
        <v>93</v>
      </c>
      <c r="E233" s="28">
        <v>5.4011028259992504E-3</v>
      </c>
      <c r="F233" s="4">
        <v>134</v>
      </c>
      <c r="G233" s="227">
        <v>1</v>
      </c>
    </row>
    <row r="234" spans="2:7" x14ac:dyDescent="0.2">
      <c r="B234" s="221"/>
      <c r="D234" s="241" t="s">
        <v>56</v>
      </c>
      <c r="E234" s="28">
        <v>0.17374521214514899</v>
      </c>
      <c r="F234" s="4">
        <v>77</v>
      </c>
      <c r="G234" s="227">
        <v>1</v>
      </c>
    </row>
    <row r="235" spans="2:7" x14ac:dyDescent="0.2">
      <c r="B235" s="221"/>
      <c r="D235" s="241" t="s">
        <v>115</v>
      </c>
      <c r="E235" s="28">
        <v>6.4181642606854397E-2</v>
      </c>
      <c r="F235" s="4">
        <v>175</v>
      </c>
      <c r="G235" s="227">
        <v>2</v>
      </c>
    </row>
    <row r="236" spans="2:7" x14ac:dyDescent="0.2">
      <c r="B236" s="221"/>
      <c r="D236" s="241" t="s">
        <v>94</v>
      </c>
      <c r="E236" s="28">
        <v>2.59072128683328E-2</v>
      </c>
      <c r="F236" s="4">
        <v>86</v>
      </c>
      <c r="G236" s="227">
        <v>3</v>
      </c>
    </row>
    <row r="237" spans="2:7" x14ac:dyDescent="0.2">
      <c r="B237" s="221"/>
      <c r="D237" s="241" t="s">
        <v>95</v>
      </c>
      <c r="E237" s="28">
        <v>9.0366816148161801E-3</v>
      </c>
      <c r="F237" s="4">
        <v>93</v>
      </c>
      <c r="G237" s="227">
        <v>4</v>
      </c>
    </row>
    <row r="238" spans="2:7" x14ac:dyDescent="0.2">
      <c r="B238" s="221"/>
      <c r="D238" s="241" t="s">
        <v>96</v>
      </c>
      <c r="E238" s="28">
        <v>2.2304998710751499E-2</v>
      </c>
      <c r="F238" s="4">
        <v>82</v>
      </c>
      <c r="G238" s="227">
        <v>3</v>
      </c>
    </row>
    <row r="239" spans="2:7" x14ac:dyDescent="0.2">
      <c r="B239" s="221"/>
      <c r="D239" s="241" t="s">
        <v>195</v>
      </c>
      <c r="E239" s="28">
        <v>2.0782544231042213</v>
      </c>
      <c r="F239" s="4">
        <v>20</v>
      </c>
      <c r="G239" s="227">
        <v>2</v>
      </c>
    </row>
    <row r="240" spans="2:7" x14ac:dyDescent="0.2">
      <c r="B240" s="221"/>
      <c r="D240" s="241" t="s">
        <v>97</v>
      </c>
      <c r="E240" s="28">
        <v>4.2525734752416602E-3</v>
      </c>
      <c r="F240" s="4">
        <v>14</v>
      </c>
      <c r="G240" s="227">
        <v>1</v>
      </c>
    </row>
    <row r="241" spans="2:7" x14ac:dyDescent="0.2">
      <c r="B241" s="221"/>
      <c r="D241" s="241" t="s">
        <v>57</v>
      </c>
      <c r="E241" s="28">
        <v>2.0925413630902749</v>
      </c>
      <c r="F241" s="4">
        <v>66</v>
      </c>
      <c r="G241" s="227">
        <v>3</v>
      </c>
    </row>
    <row r="242" spans="2:7" x14ac:dyDescent="0.2">
      <c r="B242" s="221"/>
      <c r="D242" s="241" t="s">
        <v>116</v>
      </c>
      <c r="E242" s="28">
        <v>4.2173704132437697E-3</v>
      </c>
      <c r="F242" s="4">
        <v>15</v>
      </c>
      <c r="G242" s="227">
        <v>1</v>
      </c>
    </row>
    <row r="243" spans="2:7" x14ac:dyDescent="0.2">
      <c r="B243" s="221"/>
      <c r="D243" s="241" t="s">
        <v>163</v>
      </c>
      <c r="E243" s="28">
        <v>5.8093748986720997E-2</v>
      </c>
      <c r="F243" s="4">
        <v>76</v>
      </c>
      <c r="G243" s="227">
        <v>3</v>
      </c>
    </row>
    <row r="244" spans="2:7" x14ac:dyDescent="0.2">
      <c r="B244" s="221"/>
      <c r="D244" s="241" t="s">
        <v>98</v>
      </c>
      <c r="E244" s="28">
        <v>649.50448799598882</v>
      </c>
      <c r="F244" s="4">
        <v>1553</v>
      </c>
      <c r="G244" s="227">
        <v>2</v>
      </c>
    </row>
    <row r="245" spans="2:7" x14ac:dyDescent="0.2">
      <c r="B245" s="221"/>
      <c r="D245" s="241" t="s">
        <v>117</v>
      </c>
      <c r="E245" s="28">
        <v>4.4887932017445504E-3</v>
      </c>
      <c r="F245" s="4">
        <v>43</v>
      </c>
      <c r="G245" s="227">
        <v>3</v>
      </c>
    </row>
    <row r="246" spans="2:7" x14ac:dyDescent="0.2">
      <c r="B246" s="221"/>
      <c r="D246" s="241" t="s">
        <v>118</v>
      </c>
      <c r="E246" s="28">
        <v>6.2656852416694095E-2</v>
      </c>
      <c r="F246" s="4">
        <v>193</v>
      </c>
      <c r="G246" s="227">
        <v>5</v>
      </c>
    </row>
    <row r="247" spans="2:7" x14ac:dyDescent="0.2">
      <c r="B247" s="221"/>
      <c r="D247" s="241" t="s">
        <v>101</v>
      </c>
      <c r="E247" s="28">
        <v>0.211397795006632</v>
      </c>
      <c r="F247" s="4">
        <v>148</v>
      </c>
      <c r="G247" s="227">
        <v>7</v>
      </c>
    </row>
    <row r="248" spans="2:7" x14ac:dyDescent="0.2">
      <c r="B248" s="221"/>
      <c r="D248" s="241" t="s">
        <v>102</v>
      </c>
      <c r="E248" s="28">
        <v>2.5383835658431001E-2</v>
      </c>
      <c r="F248" s="4">
        <v>111</v>
      </c>
      <c r="G248" s="227">
        <v>5</v>
      </c>
    </row>
    <row r="249" spans="2:7" x14ac:dyDescent="0.2">
      <c r="B249" s="221"/>
      <c r="D249" s="241" t="s">
        <v>103</v>
      </c>
      <c r="E249" s="28">
        <v>4.8679038882255502E-3</v>
      </c>
      <c r="F249" s="4">
        <v>85</v>
      </c>
      <c r="G249" s="227">
        <v>2</v>
      </c>
    </row>
    <row r="250" spans="2:7" x14ac:dyDescent="0.2">
      <c r="B250" s="221"/>
      <c r="D250" s="241" t="s">
        <v>58</v>
      </c>
      <c r="E250" s="28">
        <v>8.7074218317866308E-3</v>
      </c>
      <c r="F250" s="4">
        <v>24</v>
      </c>
      <c r="G250" s="227">
        <v>3</v>
      </c>
    </row>
    <row r="251" spans="2:7" x14ac:dyDescent="0.2">
      <c r="B251" s="221"/>
      <c r="D251" s="241" t="s">
        <v>59</v>
      </c>
      <c r="E251" s="28">
        <v>37887.823747702787</v>
      </c>
      <c r="F251" s="4">
        <v>7273</v>
      </c>
      <c r="G251" s="227">
        <v>56</v>
      </c>
    </row>
    <row r="252" spans="2:7" x14ac:dyDescent="0.2">
      <c r="B252" s="221"/>
      <c r="D252" s="241" t="s">
        <v>157</v>
      </c>
      <c r="E252" s="28">
        <v>0.41078086476773001</v>
      </c>
      <c r="F252" s="4">
        <v>211</v>
      </c>
      <c r="G252" s="227">
        <v>2</v>
      </c>
    </row>
    <row r="253" spans="2:7" x14ac:dyDescent="0.2">
      <c r="B253" s="221"/>
      <c r="D253" s="241" t="s">
        <v>104</v>
      </c>
      <c r="E253" s="28">
        <v>8.4401983767747792E-3</v>
      </c>
      <c r="F253" s="4">
        <v>32</v>
      </c>
      <c r="G253" s="227">
        <v>1</v>
      </c>
    </row>
    <row r="254" spans="2:7" ht="17" thickBot="1" x14ac:dyDescent="0.25">
      <c r="B254" s="221"/>
      <c r="D254" s="241" t="s">
        <v>106</v>
      </c>
      <c r="E254" s="28">
        <v>4.1683381423354097E-3</v>
      </c>
      <c r="F254" s="4">
        <v>10</v>
      </c>
      <c r="G254" s="227">
        <v>1</v>
      </c>
    </row>
    <row r="255" spans="2:7" ht="17" thickBot="1" x14ac:dyDescent="0.25">
      <c r="B255" s="246" t="s">
        <v>2</v>
      </c>
      <c r="C255" s="223"/>
      <c r="D255" s="223"/>
      <c r="E255" s="243">
        <v>20248.406966716029</v>
      </c>
      <c r="F255" s="244">
        <v>21280680</v>
      </c>
      <c r="G255" s="245">
        <v>76</v>
      </c>
    </row>
    <row r="256" spans="2:7" ht="18" thickTop="1" thickBot="1" x14ac:dyDescent="0.25">
      <c r="B256" s="221"/>
      <c r="C256" s="247" t="s">
        <v>43</v>
      </c>
      <c r="E256" s="238">
        <v>14971.80052296909</v>
      </c>
      <c r="F256" s="239">
        <v>15925797</v>
      </c>
      <c r="G256" s="240">
        <v>54</v>
      </c>
    </row>
    <row r="257" spans="2:7" x14ac:dyDescent="0.2">
      <c r="B257" s="221"/>
      <c r="D257" s="241" t="s">
        <v>62</v>
      </c>
      <c r="E257" s="28">
        <v>1.3067358173429959E-2</v>
      </c>
      <c r="F257" s="4">
        <v>15</v>
      </c>
      <c r="G257" s="227">
        <v>3</v>
      </c>
    </row>
    <row r="258" spans="2:7" x14ac:dyDescent="0.2">
      <c r="B258" s="221"/>
      <c r="D258" s="241" t="s">
        <v>63</v>
      </c>
      <c r="E258" s="28">
        <v>0.57103638350963504</v>
      </c>
      <c r="F258" s="4">
        <v>285</v>
      </c>
      <c r="G258" s="227">
        <v>1</v>
      </c>
    </row>
    <row r="259" spans="2:7" x14ac:dyDescent="0.2">
      <c r="B259" s="221"/>
      <c r="D259" s="241" t="s">
        <v>64</v>
      </c>
      <c r="E259" s="28">
        <v>1.6045750258490401</v>
      </c>
      <c r="F259" s="4">
        <v>1482</v>
      </c>
      <c r="G259" s="227">
        <v>1</v>
      </c>
    </row>
    <row r="260" spans="2:7" x14ac:dyDescent="0.2">
      <c r="B260" s="221"/>
      <c r="D260" s="241" t="s">
        <v>68</v>
      </c>
      <c r="E260" s="28">
        <v>1.1849941322579969</v>
      </c>
      <c r="F260" s="4">
        <v>2155</v>
      </c>
      <c r="G260" s="227">
        <v>5</v>
      </c>
    </row>
    <row r="261" spans="2:7" x14ac:dyDescent="0.2">
      <c r="B261" s="221"/>
      <c r="D261" s="241" t="s">
        <v>70</v>
      </c>
      <c r="E261" s="28">
        <v>2768.82536485325</v>
      </c>
      <c r="F261" s="4">
        <v>3902150</v>
      </c>
      <c r="G261" s="227">
        <v>1</v>
      </c>
    </row>
    <row r="262" spans="2:7" x14ac:dyDescent="0.2">
      <c r="B262" s="221"/>
      <c r="D262" s="241" t="s">
        <v>75</v>
      </c>
      <c r="E262" s="28">
        <v>0.75160273164510705</v>
      </c>
      <c r="F262" s="4">
        <v>570</v>
      </c>
      <c r="G262" s="227">
        <v>1</v>
      </c>
    </row>
    <row r="263" spans="2:7" x14ac:dyDescent="0.2">
      <c r="B263" s="221"/>
      <c r="D263" s="241" t="s">
        <v>76</v>
      </c>
      <c r="E263" s="28">
        <v>1.3829302042722699E-4</v>
      </c>
      <c r="F263" s="4">
        <v>1</v>
      </c>
      <c r="G263" s="227">
        <v>1</v>
      </c>
    </row>
    <row r="264" spans="2:7" x14ac:dyDescent="0.2">
      <c r="B264" s="221"/>
      <c r="D264" s="241" t="s">
        <v>184</v>
      </c>
      <c r="E264" s="28">
        <v>5.7197175920009599E-5</v>
      </c>
      <c r="F264" s="4">
        <v>1</v>
      </c>
      <c r="G264" s="227">
        <v>1</v>
      </c>
    </row>
    <row r="265" spans="2:7" x14ac:dyDescent="0.2">
      <c r="B265" s="221"/>
      <c r="D265" s="241" t="s">
        <v>79</v>
      </c>
      <c r="E265" s="28">
        <v>5.3396439179778099E-3</v>
      </c>
      <c r="F265" s="4">
        <v>7</v>
      </c>
      <c r="G265" s="227">
        <v>2</v>
      </c>
    </row>
    <row r="266" spans="2:7" x14ac:dyDescent="0.2">
      <c r="B266" s="221"/>
      <c r="D266" s="241" t="s">
        <v>80</v>
      </c>
      <c r="E266" s="28">
        <v>3.0947690829634606E-3</v>
      </c>
      <c r="F266" s="4">
        <v>22</v>
      </c>
      <c r="G266" s="227">
        <v>3</v>
      </c>
    </row>
    <row r="267" spans="2:7" x14ac:dyDescent="0.2">
      <c r="B267" s="221"/>
      <c r="D267" s="241" t="s">
        <v>81</v>
      </c>
      <c r="E267" s="28">
        <v>1.40102580189704E-4</v>
      </c>
      <c r="F267" s="4">
        <v>1</v>
      </c>
      <c r="G267" s="227">
        <v>1</v>
      </c>
    </row>
    <row r="268" spans="2:7" x14ac:dyDescent="0.2">
      <c r="B268" s="221"/>
      <c r="D268" s="241" t="s">
        <v>86</v>
      </c>
      <c r="E268" s="28">
        <v>1.71591527760028E-4</v>
      </c>
      <c r="F268" s="4">
        <v>3</v>
      </c>
      <c r="G268" s="227">
        <v>2</v>
      </c>
    </row>
    <row r="269" spans="2:7" x14ac:dyDescent="0.2">
      <c r="B269" s="221"/>
      <c r="D269" s="241" t="s">
        <v>88</v>
      </c>
      <c r="E269" s="28">
        <v>5582.0458723707097</v>
      </c>
      <c r="F269" s="4">
        <v>369419</v>
      </c>
      <c r="G269" s="227">
        <v>1</v>
      </c>
    </row>
    <row r="270" spans="2:7" x14ac:dyDescent="0.2">
      <c r="B270" s="221"/>
      <c r="D270" s="241" t="s">
        <v>90</v>
      </c>
      <c r="E270" s="28">
        <v>4.8137902282178402E-2</v>
      </c>
      <c r="F270" s="4">
        <v>38</v>
      </c>
      <c r="G270" s="227">
        <v>1</v>
      </c>
    </row>
    <row r="271" spans="2:7" x14ac:dyDescent="0.2">
      <c r="B271" s="221"/>
      <c r="D271" s="241" t="s">
        <v>92</v>
      </c>
      <c r="E271" s="28">
        <v>5.7197175920009599E-5</v>
      </c>
      <c r="F271" s="4">
        <v>1</v>
      </c>
      <c r="G271" s="227">
        <v>1</v>
      </c>
    </row>
    <row r="272" spans="2:7" x14ac:dyDescent="0.2">
      <c r="B272" s="221"/>
      <c r="D272" s="241" t="s">
        <v>115</v>
      </c>
      <c r="E272" s="28">
        <v>1.6013979911804141E-3</v>
      </c>
      <c r="F272" s="4">
        <v>5</v>
      </c>
      <c r="G272" s="227">
        <v>2</v>
      </c>
    </row>
    <row r="273" spans="2:7" x14ac:dyDescent="0.2">
      <c r="B273" s="221"/>
      <c r="D273" s="241" t="s">
        <v>98</v>
      </c>
      <c r="E273" s="28">
        <v>6561.0354140857171</v>
      </c>
      <c r="F273" s="4">
        <v>11583654</v>
      </c>
      <c r="G273" s="227">
        <v>2</v>
      </c>
    </row>
    <row r="274" spans="2:7" x14ac:dyDescent="0.2">
      <c r="B274" s="221"/>
      <c r="D274" s="241" t="s">
        <v>197</v>
      </c>
      <c r="E274" s="28">
        <v>1.480392087250941E-2</v>
      </c>
      <c r="F274" s="4">
        <v>12</v>
      </c>
      <c r="G274" s="227">
        <v>2</v>
      </c>
    </row>
    <row r="275" spans="2:7" ht="17" thickBot="1" x14ac:dyDescent="0.25">
      <c r="B275" s="221"/>
      <c r="D275" s="241" t="s">
        <v>59</v>
      </c>
      <c r="E275" s="28">
        <v>55.69505401235066</v>
      </c>
      <c r="F275" s="4">
        <v>65976</v>
      </c>
      <c r="G275" s="227">
        <v>23</v>
      </c>
    </row>
    <row r="276" spans="2:7" ht="17" thickBot="1" x14ac:dyDescent="0.25">
      <c r="B276" s="221"/>
      <c r="C276" s="224" t="s">
        <v>45</v>
      </c>
      <c r="D276" s="235"/>
      <c r="E276" s="236">
        <v>5276.6064437469413</v>
      </c>
      <c r="F276" s="237">
        <v>5354883</v>
      </c>
      <c r="G276" s="242">
        <v>22</v>
      </c>
    </row>
    <row r="277" spans="2:7" x14ac:dyDescent="0.2">
      <c r="B277" s="221"/>
      <c r="D277" s="241" t="s">
        <v>62</v>
      </c>
      <c r="E277" s="28">
        <v>9.8318234086036595E-4</v>
      </c>
      <c r="F277" s="4">
        <v>1</v>
      </c>
      <c r="G277" s="227">
        <v>1</v>
      </c>
    </row>
    <row r="278" spans="2:7" x14ac:dyDescent="0.2">
      <c r="B278" s="221"/>
      <c r="D278" s="241" t="s">
        <v>64</v>
      </c>
      <c r="E278" s="28">
        <v>0.46347376052290201</v>
      </c>
      <c r="F278" s="4">
        <v>830</v>
      </c>
      <c r="G278" s="227">
        <v>1</v>
      </c>
    </row>
    <row r="279" spans="2:7" x14ac:dyDescent="0.2">
      <c r="B279" s="221"/>
      <c r="D279" s="241" t="s">
        <v>108</v>
      </c>
      <c r="E279" s="28">
        <v>1.59626826643943E-4</v>
      </c>
      <c r="F279" s="4">
        <v>1</v>
      </c>
      <c r="G279" s="227">
        <v>1</v>
      </c>
    </row>
    <row r="280" spans="2:7" x14ac:dyDescent="0.2">
      <c r="B280" s="221"/>
      <c r="D280" s="241" t="s">
        <v>68</v>
      </c>
      <c r="E280" s="28">
        <v>19.460238846018864</v>
      </c>
      <c r="F280" s="4">
        <v>11994</v>
      </c>
      <c r="G280" s="227">
        <v>4</v>
      </c>
    </row>
    <row r="281" spans="2:7" x14ac:dyDescent="0.2">
      <c r="B281" s="221"/>
      <c r="D281" s="241" t="s">
        <v>69</v>
      </c>
      <c r="E281" s="28">
        <v>2.08096671849489E-3</v>
      </c>
      <c r="F281" s="4">
        <v>3</v>
      </c>
      <c r="G281" s="227">
        <v>1</v>
      </c>
    </row>
    <row r="282" spans="2:7" x14ac:dyDescent="0.2">
      <c r="B282" s="221"/>
      <c r="D282" s="241" t="s">
        <v>70</v>
      </c>
      <c r="E282" s="28">
        <v>5171.0843115029802</v>
      </c>
      <c r="F282" s="4">
        <v>4516854</v>
      </c>
      <c r="G282" s="227">
        <v>2</v>
      </c>
    </row>
    <row r="283" spans="2:7" x14ac:dyDescent="0.2">
      <c r="B283" s="221"/>
      <c r="D283" s="241" t="s">
        <v>73</v>
      </c>
      <c r="E283" s="28">
        <v>5.6382268667221002E-5</v>
      </c>
      <c r="F283" s="4">
        <v>1</v>
      </c>
      <c r="G283" s="227">
        <v>1</v>
      </c>
    </row>
    <row r="284" spans="2:7" x14ac:dyDescent="0.2">
      <c r="B284" s="221"/>
      <c r="D284" s="241" t="s">
        <v>54</v>
      </c>
      <c r="E284" s="28">
        <v>1.19103118777275E-4</v>
      </c>
      <c r="F284" s="4">
        <v>1</v>
      </c>
      <c r="G284" s="227">
        <v>1</v>
      </c>
    </row>
    <row r="285" spans="2:7" x14ac:dyDescent="0.2">
      <c r="B285" s="221"/>
      <c r="D285" s="241" t="s">
        <v>79</v>
      </c>
      <c r="E285" s="28">
        <v>8.7715871632099097E-4</v>
      </c>
      <c r="F285" s="4">
        <v>3</v>
      </c>
      <c r="G285" s="227">
        <v>1</v>
      </c>
    </row>
    <row r="286" spans="2:7" x14ac:dyDescent="0.2">
      <c r="B286" s="221"/>
      <c r="D286" s="241" t="s">
        <v>98</v>
      </c>
      <c r="E286" s="28">
        <v>84.268391646444698</v>
      </c>
      <c r="F286" s="4">
        <v>76688</v>
      </c>
      <c r="G286" s="227">
        <v>1</v>
      </c>
    </row>
    <row r="287" spans="2:7" x14ac:dyDescent="0.2">
      <c r="B287" s="221"/>
      <c r="D287" s="241" t="s">
        <v>197</v>
      </c>
      <c r="E287" s="28">
        <v>7.6930318027734702E-4</v>
      </c>
      <c r="F287" s="4">
        <v>2</v>
      </c>
      <c r="G287" s="227">
        <v>1</v>
      </c>
    </row>
    <row r="288" spans="2:7" ht="17" thickBot="1" x14ac:dyDescent="0.25">
      <c r="B288" s="221"/>
      <c r="D288" s="241" t="s">
        <v>59</v>
      </c>
      <c r="E288" s="28">
        <v>1.3249822678044401</v>
      </c>
      <c r="F288" s="4">
        <v>748505</v>
      </c>
      <c r="G288" s="227">
        <v>7</v>
      </c>
    </row>
    <row r="289" spans="2:7" ht="17" thickBot="1" x14ac:dyDescent="0.25">
      <c r="B289" s="246" t="s">
        <v>3</v>
      </c>
      <c r="C289" s="223"/>
      <c r="D289" s="223"/>
      <c r="E289" s="243">
        <v>24073.181516315752</v>
      </c>
      <c r="F289" s="244">
        <v>17718563</v>
      </c>
      <c r="G289" s="245">
        <v>198</v>
      </c>
    </row>
    <row r="290" spans="2:7" ht="18" thickTop="1" thickBot="1" x14ac:dyDescent="0.25">
      <c r="B290" s="221"/>
      <c r="C290" s="206" t="s">
        <v>160</v>
      </c>
      <c r="E290" s="238">
        <v>6.9685796350240601</v>
      </c>
      <c r="F290" s="239">
        <v>4</v>
      </c>
      <c r="G290" s="240">
        <v>2</v>
      </c>
    </row>
    <row r="291" spans="2:7" ht="17" thickBot="1" x14ac:dyDescent="0.25">
      <c r="B291" s="221"/>
      <c r="D291" s="241" t="s">
        <v>59</v>
      </c>
      <c r="E291" s="28">
        <v>6.9685796350240601</v>
      </c>
      <c r="F291" s="4">
        <v>4</v>
      </c>
      <c r="G291" s="227">
        <v>2</v>
      </c>
    </row>
    <row r="292" spans="2:7" ht="17" thickBot="1" x14ac:dyDescent="0.25">
      <c r="B292" s="221"/>
      <c r="C292" s="224" t="s">
        <v>158</v>
      </c>
      <c r="D292" s="235"/>
      <c r="E292" s="236">
        <v>0.17733537498861501</v>
      </c>
      <c r="F292" s="237">
        <v>1</v>
      </c>
      <c r="G292" s="242">
        <v>1</v>
      </c>
    </row>
    <row r="293" spans="2:7" ht="17" thickBot="1" x14ac:dyDescent="0.25">
      <c r="B293" s="221"/>
      <c r="D293" s="241" t="s">
        <v>59</v>
      </c>
      <c r="E293" s="28">
        <v>0.17733537498861501</v>
      </c>
      <c r="F293" s="4">
        <v>1</v>
      </c>
      <c r="G293" s="227">
        <v>1</v>
      </c>
    </row>
    <row r="294" spans="2:7" ht="17" thickBot="1" x14ac:dyDescent="0.25">
      <c r="B294" s="221"/>
      <c r="C294" s="224" t="s">
        <v>47</v>
      </c>
      <c r="D294" s="235"/>
      <c r="E294" s="236">
        <v>105.07520869187999</v>
      </c>
      <c r="F294" s="237">
        <v>50244</v>
      </c>
      <c r="G294" s="242">
        <v>27</v>
      </c>
    </row>
    <row r="295" spans="2:7" x14ac:dyDescent="0.2">
      <c r="B295" s="221"/>
      <c r="D295" s="241" t="s">
        <v>64</v>
      </c>
      <c r="E295" s="28">
        <v>3.4001219831406999</v>
      </c>
      <c r="F295" s="4">
        <v>8206</v>
      </c>
      <c r="G295" s="227">
        <v>1</v>
      </c>
    </row>
    <row r="296" spans="2:7" x14ac:dyDescent="0.2">
      <c r="B296" s="221"/>
      <c r="D296" s="241" t="s">
        <v>67</v>
      </c>
      <c r="E296" s="28">
        <v>9.4650313258171E-5</v>
      </c>
      <c r="F296" s="4">
        <v>0</v>
      </c>
      <c r="G296" s="227">
        <v>1</v>
      </c>
    </row>
    <row r="297" spans="2:7" x14ac:dyDescent="0.2">
      <c r="B297" s="221"/>
      <c r="D297" s="241" t="s">
        <v>68</v>
      </c>
      <c r="E297" s="28">
        <v>1.52587890625E-5</v>
      </c>
      <c r="F297" s="4">
        <v>0</v>
      </c>
      <c r="G297" s="227">
        <v>1</v>
      </c>
    </row>
    <row r="298" spans="2:7" x14ac:dyDescent="0.2">
      <c r="B298" s="221"/>
      <c r="D298" s="241" t="s">
        <v>79</v>
      </c>
      <c r="E298" s="28">
        <v>1.8375925719738001E-4</v>
      </c>
      <c r="F298" s="4">
        <v>2</v>
      </c>
      <c r="G298" s="227">
        <v>1</v>
      </c>
    </row>
    <row r="299" spans="2:7" x14ac:dyDescent="0.2">
      <c r="B299" s="221"/>
      <c r="D299" s="241" t="s">
        <v>188</v>
      </c>
      <c r="E299" s="28">
        <v>0.17728056479245399</v>
      </c>
      <c r="F299" s="4">
        <v>847</v>
      </c>
      <c r="G299" s="227">
        <v>1</v>
      </c>
    </row>
    <row r="300" spans="2:7" x14ac:dyDescent="0.2">
      <c r="B300" s="221"/>
      <c r="D300" s="241" t="s">
        <v>98</v>
      </c>
      <c r="E300" s="28">
        <v>88.083070750348199</v>
      </c>
      <c r="F300" s="4">
        <v>22549</v>
      </c>
      <c r="G300" s="227">
        <v>1</v>
      </c>
    </row>
    <row r="301" spans="2:7" x14ac:dyDescent="0.2">
      <c r="B301" s="221"/>
      <c r="D301" s="241" t="s">
        <v>99</v>
      </c>
      <c r="E301" s="28">
        <v>1.4681927859783099E-4</v>
      </c>
      <c r="F301" s="4">
        <v>1</v>
      </c>
      <c r="G301" s="227">
        <v>1</v>
      </c>
    </row>
    <row r="302" spans="2:7" x14ac:dyDescent="0.2">
      <c r="B302" s="221"/>
      <c r="D302" s="241" t="s">
        <v>58</v>
      </c>
      <c r="E302" s="28">
        <v>3.2979063689708703E-5</v>
      </c>
      <c r="F302" s="4">
        <v>1</v>
      </c>
      <c r="G302" s="227">
        <v>1</v>
      </c>
    </row>
    <row r="303" spans="2:7" x14ac:dyDescent="0.2">
      <c r="B303" s="221"/>
      <c r="D303" s="241" t="s">
        <v>59</v>
      </c>
      <c r="E303" s="28">
        <v>13.414170043542958</v>
      </c>
      <c r="F303" s="4">
        <v>18635</v>
      </c>
      <c r="G303" s="227">
        <v>18</v>
      </c>
    </row>
    <row r="304" spans="2:7" ht="17" thickBot="1" x14ac:dyDescent="0.25">
      <c r="B304" s="221"/>
      <c r="D304" s="241" t="s">
        <v>104</v>
      </c>
      <c r="E304" s="28">
        <v>9.18833538889884E-5</v>
      </c>
      <c r="F304" s="4">
        <v>3</v>
      </c>
      <c r="G304" s="227">
        <v>1</v>
      </c>
    </row>
    <row r="305" spans="2:7" ht="17" thickBot="1" x14ac:dyDescent="0.25">
      <c r="B305" s="221"/>
      <c r="C305" s="224" t="s">
        <v>49</v>
      </c>
      <c r="D305" s="235"/>
      <c r="E305" s="236">
        <v>18168.801940070429</v>
      </c>
      <c r="F305" s="237">
        <v>5680842</v>
      </c>
      <c r="G305" s="242">
        <v>83</v>
      </c>
    </row>
    <row r="306" spans="2:7" x14ac:dyDescent="0.2">
      <c r="B306" s="221"/>
      <c r="D306" s="241" t="s">
        <v>61</v>
      </c>
      <c r="E306" s="28">
        <v>6.1262398958206095E-5</v>
      </c>
      <c r="F306" s="4">
        <v>1</v>
      </c>
      <c r="G306" s="227">
        <v>1</v>
      </c>
    </row>
    <row r="307" spans="2:7" x14ac:dyDescent="0.2">
      <c r="B307" s="221"/>
      <c r="D307" s="241" t="s">
        <v>62</v>
      </c>
      <c r="E307" s="28">
        <v>5.19036501646041E-3</v>
      </c>
      <c r="F307" s="4">
        <v>6</v>
      </c>
      <c r="G307" s="227">
        <v>2</v>
      </c>
    </row>
    <row r="308" spans="2:7" x14ac:dyDescent="0.2">
      <c r="B308" s="221"/>
      <c r="D308" s="241" t="s">
        <v>63</v>
      </c>
      <c r="E308" s="28">
        <v>1.6891304403543399E-4</v>
      </c>
      <c r="F308" s="4">
        <v>4</v>
      </c>
      <c r="G308" s="227">
        <v>1</v>
      </c>
    </row>
    <row r="309" spans="2:7" x14ac:dyDescent="0.2">
      <c r="B309" s="221"/>
      <c r="D309" s="241" t="s">
        <v>64</v>
      </c>
      <c r="E309" s="28">
        <v>2.6379441842436735E-2</v>
      </c>
      <c r="F309" s="4">
        <v>62</v>
      </c>
      <c r="G309" s="227">
        <v>2</v>
      </c>
    </row>
    <row r="310" spans="2:7" x14ac:dyDescent="0.2">
      <c r="B310" s="221"/>
      <c r="D310" s="241" t="s">
        <v>108</v>
      </c>
      <c r="E310" s="28">
        <v>6.6887587308883599E-6</v>
      </c>
      <c r="F310" s="4">
        <v>1</v>
      </c>
      <c r="G310" s="227">
        <v>1</v>
      </c>
    </row>
    <row r="311" spans="2:7" x14ac:dyDescent="0.2">
      <c r="B311" s="221"/>
      <c r="D311" s="241" t="s">
        <v>67</v>
      </c>
      <c r="E311" s="28">
        <v>4.3861150741577072E-2</v>
      </c>
      <c r="F311" s="4">
        <v>67</v>
      </c>
      <c r="G311" s="227">
        <v>2</v>
      </c>
    </row>
    <row r="312" spans="2:7" x14ac:dyDescent="0.2">
      <c r="B312" s="221"/>
      <c r="D312" s="241" t="s">
        <v>70</v>
      </c>
      <c r="E312" s="28">
        <v>2741.5330361239598</v>
      </c>
      <c r="F312" s="4">
        <v>865527</v>
      </c>
      <c r="G312" s="227">
        <v>1</v>
      </c>
    </row>
    <row r="313" spans="2:7" x14ac:dyDescent="0.2">
      <c r="B313" s="221"/>
      <c r="D313" s="241" t="s">
        <v>166</v>
      </c>
      <c r="E313" s="28">
        <v>4.3448992073535899E-5</v>
      </c>
      <c r="F313" s="4">
        <v>1</v>
      </c>
      <c r="G313" s="227">
        <v>1</v>
      </c>
    </row>
    <row r="314" spans="2:7" x14ac:dyDescent="0.2">
      <c r="B314" s="221"/>
      <c r="D314" s="241" t="s">
        <v>75</v>
      </c>
      <c r="E314" s="28">
        <v>4.8100017011165599E-5</v>
      </c>
      <c r="F314" s="4">
        <v>1</v>
      </c>
      <c r="G314" s="227">
        <v>1</v>
      </c>
    </row>
    <row r="315" spans="2:7" x14ac:dyDescent="0.2">
      <c r="B315" s="221"/>
      <c r="D315" s="241" t="s">
        <v>76</v>
      </c>
      <c r="E315" s="28">
        <v>0.84650656487792697</v>
      </c>
      <c r="F315" s="4">
        <v>1888</v>
      </c>
      <c r="G315" s="227">
        <v>2</v>
      </c>
    </row>
    <row r="316" spans="2:7" x14ac:dyDescent="0.2">
      <c r="B316" s="221"/>
      <c r="D316" s="241" t="s">
        <v>54</v>
      </c>
      <c r="E316" s="28">
        <v>1.4706701040267901E-4</v>
      </c>
      <c r="F316" s="4">
        <v>5</v>
      </c>
      <c r="G316" s="227">
        <v>2</v>
      </c>
    </row>
    <row r="317" spans="2:7" x14ac:dyDescent="0.2">
      <c r="B317" s="221"/>
      <c r="D317" s="241" t="s">
        <v>79</v>
      </c>
      <c r="E317" s="28">
        <v>0.49723016284406146</v>
      </c>
      <c r="F317" s="4">
        <v>175</v>
      </c>
      <c r="G317" s="227">
        <v>5</v>
      </c>
    </row>
    <row r="318" spans="2:7" x14ac:dyDescent="0.2">
      <c r="B318" s="221"/>
      <c r="D318" s="241" t="s">
        <v>80</v>
      </c>
      <c r="E318" s="28">
        <v>1.403605565428726E-4</v>
      </c>
      <c r="F318" s="4">
        <v>2</v>
      </c>
      <c r="G318" s="227">
        <v>2</v>
      </c>
    </row>
    <row r="319" spans="2:7" x14ac:dyDescent="0.2">
      <c r="B319" s="221"/>
      <c r="D319" s="241" t="s">
        <v>83</v>
      </c>
      <c r="E319" s="28">
        <v>8.0617610365152305E-4</v>
      </c>
      <c r="F319" s="4">
        <v>2</v>
      </c>
      <c r="G319" s="227">
        <v>1</v>
      </c>
    </row>
    <row r="320" spans="2:7" x14ac:dyDescent="0.2">
      <c r="B320" s="221"/>
      <c r="D320" s="241" t="s">
        <v>84</v>
      </c>
      <c r="E320" s="28">
        <v>7.4583524838089901E-2</v>
      </c>
      <c r="F320" s="4">
        <v>2</v>
      </c>
      <c r="G320" s="227">
        <v>1</v>
      </c>
    </row>
    <row r="321" spans="2:7" x14ac:dyDescent="0.2">
      <c r="B321" s="221"/>
      <c r="D321" s="241" t="s">
        <v>188</v>
      </c>
      <c r="E321" s="28">
        <v>1.42909433878958</v>
      </c>
      <c r="F321" s="4">
        <v>9409</v>
      </c>
      <c r="G321" s="227">
        <v>1</v>
      </c>
    </row>
    <row r="322" spans="2:7" x14ac:dyDescent="0.2">
      <c r="B322" s="221"/>
      <c r="D322" s="241" t="s">
        <v>86</v>
      </c>
      <c r="E322" s="28">
        <v>5.5582635104656198E-4</v>
      </c>
      <c r="F322" s="4">
        <v>3</v>
      </c>
      <c r="G322" s="227">
        <v>1</v>
      </c>
    </row>
    <row r="323" spans="2:7" x14ac:dyDescent="0.2">
      <c r="B323" s="221"/>
      <c r="D323" s="241" t="s">
        <v>87</v>
      </c>
      <c r="E323" s="28">
        <v>2.65200622379779E-4</v>
      </c>
      <c r="F323" s="4">
        <v>1</v>
      </c>
      <c r="G323" s="227">
        <v>1</v>
      </c>
    </row>
    <row r="324" spans="2:7" x14ac:dyDescent="0.2">
      <c r="B324" s="221"/>
      <c r="D324" s="241" t="s">
        <v>90</v>
      </c>
      <c r="E324" s="28">
        <v>0.10417443048208901</v>
      </c>
      <c r="F324" s="4">
        <v>29</v>
      </c>
      <c r="G324" s="227">
        <v>1</v>
      </c>
    </row>
    <row r="325" spans="2:7" x14ac:dyDescent="0.2">
      <c r="B325" s="221"/>
      <c r="D325" s="241" t="s">
        <v>93</v>
      </c>
      <c r="E325" s="28">
        <v>2.1517165005207001E-3</v>
      </c>
      <c r="F325" s="4">
        <v>4</v>
      </c>
      <c r="G325" s="227">
        <v>1</v>
      </c>
    </row>
    <row r="326" spans="2:7" x14ac:dyDescent="0.2">
      <c r="B326" s="221"/>
      <c r="D326" s="241" t="s">
        <v>194</v>
      </c>
      <c r="E326" s="28">
        <v>0.20907013583928299</v>
      </c>
      <c r="F326" s="4">
        <v>60</v>
      </c>
      <c r="G326" s="227">
        <v>1</v>
      </c>
    </row>
    <row r="327" spans="2:7" x14ac:dyDescent="0.2">
      <c r="B327" s="221"/>
      <c r="D327" s="241" t="s">
        <v>96</v>
      </c>
      <c r="E327" s="28">
        <v>4.6070316806435502E-2</v>
      </c>
      <c r="F327" s="4">
        <v>207</v>
      </c>
      <c r="G327" s="227">
        <v>1</v>
      </c>
    </row>
    <row r="328" spans="2:7" x14ac:dyDescent="0.2">
      <c r="B328" s="221"/>
      <c r="D328" s="241" t="s">
        <v>97</v>
      </c>
      <c r="E328" s="28">
        <v>3.2584349624812603E-2</v>
      </c>
      <c r="F328" s="4">
        <v>10</v>
      </c>
      <c r="G328" s="227">
        <v>1</v>
      </c>
    </row>
    <row r="329" spans="2:7" x14ac:dyDescent="0.2">
      <c r="B329" s="221"/>
      <c r="D329" s="241" t="s">
        <v>57</v>
      </c>
      <c r="E329" s="28">
        <v>5.3733401000499704E-4</v>
      </c>
      <c r="F329" s="4">
        <v>9</v>
      </c>
      <c r="G329" s="227">
        <v>1</v>
      </c>
    </row>
    <row r="330" spans="2:7" x14ac:dyDescent="0.2">
      <c r="B330" s="221"/>
      <c r="D330" s="241" t="s">
        <v>163</v>
      </c>
      <c r="E330" s="28">
        <v>1.68603844940662E-4</v>
      </c>
      <c r="F330" s="4">
        <v>1</v>
      </c>
      <c r="G330" s="227">
        <v>1</v>
      </c>
    </row>
    <row r="331" spans="2:7" x14ac:dyDescent="0.2">
      <c r="B331" s="221"/>
      <c r="D331" s="241" t="s">
        <v>98</v>
      </c>
      <c r="E331" s="28">
        <v>244.20692122913871</v>
      </c>
      <c r="F331" s="4">
        <v>63195</v>
      </c>
      <c r="G331" s="227">
        <v>2</v>
      </c>
    </row>
    <row r="332" spans="2:7" x14ac:dyDescent="0.2">
      <c r="B332" s="221"/>
      <c r="D332" s="241" t="s">
        <v>59</v>
      </c>
      <c r="E332" s="28">
        <v>15179.739504997582</v>
      </c>
      <c r="F332" s="4">
        <v>4740165</v>
      </c>
      <c r="G332" s="227">
        <v>45</v>
      </c>
    </row>
    <row r="333" spans="2:7" ht="17" thickBot="1" x14ac:dyDescent="0.25">
      <c r="B333" s="221"/>
      <c r="D333" s="241" t="s">
        <v>104</v>
      </c>
      <c r="E333" s="28">
        <v>2.6322398334741501E-3</v>
      </c>
      <c r="F333" s="4">
        <v>5</v>
      </c>
      <c r="G333" s="227">
        <v>1</v>
      </c>
    </row>
    <row r="334" spans="2:7" ht="17" thickBot="1" x14ac:dyDescent="0.25">
      <c r="B334" s="221"/>
      <c r="C334" s="224" t="s">
        <v>130</v>
      </c>
      <c r="D334" s="235"/>
      <c r="E334" s="236">
        <v>5792.1584525434282</v>
      </c>
      <c r="F334" s="237">
        <v>11987472</v>
      </c>
      <c r="G334" s="242">
        <v>85</v>
      </c>
    </row>
    <row r="335" spans="2:7" x14ac:dyDescent="0.2">
      <c r="B335" s="221"/>
      <c r="D335" s="241" t="s">
        <v>63</v>
      </c>
      <c r="E335" s="28">
        <v>3.3144867727532925</v>
      </c>
      <c r="F335" s="4">
        <v>28287</v>
      </c>
      <c r="G335" s="227">
        <v>2</v>
      </c>
    </row>
    <row r="336" spans="2:7" x14ac:dyDescent="0.2">
      <c r="B336" s="221"/>
      <c r="D336" s="241" t="s">
        <v>64</v>
      </c>
      <c r="E336" s="28">
        <v>7.2748240083455998E-2</v>
      </c>
      <c r="F336" s="4">
        <v>359</v>
      </c>
      <c r="G336" s="227">
        <v>1</v>
      </c>
    </row>
    <row r="337" spans="2:7" x14ac:dyDescent="0.2">
      <c r="B337" s="221"/>
      <c r="D337" s="241" t="s">
        <v>65</v>
      </c>
      <c r="E337" s="28">
        <v>3.7331767380237559E-2</v>
      </c>
      <c r="F337" s="4">
        <v>17</v>
      </c>
      <c r="G337" s="227">
        <v>2</v>
      </c>
    </row>
    <row r="338" spans="2:7" x14ac:dyDescent="0.2">
      <c r="B338" s="221"/>
      <c r="D338" s="241" t="s">
        <v>108</v>
      </c>
      <c r="E338" s="28">
        <v>2.1820068359375E-3</v>
      </c>
      <c r="F338" s="4">
        <v>0</v>
      </c>
      <c r="G338" s="227">
        <v>1</v>
      </c>
    </row>
    <row r="339" spans="2:7" x14ac:dyDescent="0.2">
      <c r="B339" s="221"/>
      <c r="D339" s="241" t="s">
        <v>67</v>
      </c>
      <c r="E339" s="28">
        <v>5.3088553249835903E-4</v>
      </c>
      <c r="F339" s="4">
        <v>0</v>
      </c>
      <c r="G339" s="227">
        <v>1</v>
      </c>
    </row>
    <row r="340" spans="2:7" x14ac:dyDescent="0.2">
      <c r="B340" s="221"/>
      <c r="D340" s="241" t="s">
        <v>70</v>
      </c>
      <c r="E340" s="28">
        <v>0.66493468917906107</v>
      </c>
      <c r="F340" s="4">
        <v>401</v>
      </c>
      <c r="G340" s="227">
        <v>3</v>
      </c>
    </row>
    <row r="341" spans="2:7" x14ac:dyDescent="0.2">
      <c r="B341" s="221"/>
      <c r="D341" s="241" t="s">
        <v>71</v>
      </c>
      <c r="E341" s="28">
        <v>8.9093111455440494E-5</v>
      </c>
      <c r="F341" s="4">
        <v>3</v>
      </c>
      <c r="G341" s="227">
        <v>2</v>
      </c>
    </row>
    <row r="342" spans="2:7" x14ac:dyDescent="0.2">
      <c r="B342" s="221"/>
      <c r="D342" s="241" t="s">
        <v>75</v>
      </c>
      <c r="E342" s="28">
        <v>138.80557249020703</v>
      </c>
      <c r="F342" s="4">
        <v>687726</v>
      </c>
      <c r="G342" s="227">
        <v>2</v>
      </c>
    </row>
    <row r="343" spans="2:7" x14ac:dyDescent="0.2">
      <c r="B343" s="221"/>
      <c r="D343" s="241" t="s">
        <v>76</v>
      </c>
      <c r="E343" s="28">
        <v>0.11754560936242331</v>
      </c>
      <c r="F343" s="4">
        <v>431</v>
      </c>
      <c r="G343" s="227">
        <v>3</v>
      </c>
    </row>
    <row r="344" spans="2:7" x14ac:dyDescent="0.2">
      <c r="B344" s="221"/>
      <c r="D344" s="241" t="s">
        <v>171</v>
      </c>
      <c r="E344" s="28">
        <v>7.8944023698568301E-4</v>
      </c>
      <c r="F344" s="4">
        <v>2</v>
      </c>
      <c r="G344" s="227">
        <v>1</v>
      </c>
    </row>
    <row r="345" spans="2:7" x14ac:dyDescent="0.2">
      <c r="B345" s="221"/>
      <c r="D345" s="241" t="s">
        <v>167</v>
      </c>
      <c r="E345" s="28">
        <v>1.60131603479385E-5</v>
      </c>
      <c r="F345" s="4">
        <v>2</v>
      </c>
      <c r="G345" s="227">
        <v>1</v>
      </c>
    </row>
    <row r="346" spans="2:7" x14ac:dyDescent="0.2">
      <c r="B346" s="221"/>
      <c r="D346" s="241" t="s">
        <v>79</v>
      </c>
      <c r="E346" s="28">
        <v>4.3563565239310223E-2</v>
      </c>
      <c r="F346" s="4">
        <v>53</v>
      </c>
      <c r="G346" s="227">
        <v>4</v>
      </c>
    </row>
    <row r="347" spans="2:7" x14ac:dyDescent="0.2">
      <c r="B347" s="221"/>
      <c r="D347" s="241" t="s">
        <v>80</v>
      </c>
      <c r="E347" s="28">
        <v>0.11185027472674799</v>
      </c>
      <c r="F347" s="4">
        <v>8</v>
      </c>
      <c r="G347" s="227">
        <v>1</v>
      </c>
    </row>
    <row r="348" spans="2:7" x14ac:dyDescent="0.2">
      <c r="B348" s="221"/>
      <c r="D348" s="241" t="s">
        <v>55</v>
      </c>
      <c r="E348" s="28">
        <v>6.4472667872905699E-4</v>
      </c>
      <c r="F348" s="4">
        <v>2</v>
      </c>
      <c r="G348" s="227">
        <v>1</v>
      </c>
    </row>
    <row r="349" spans="2:7" x14ac:dyDescent="0.2">
      <c r="B349" s="221"/>
      <c r="D349" s="241" t="s">
        <v>86</v>
      </c>
      <c r="E349" s="28">
        <v>4.9751251935958803E-6</v>
      </c>
      <c r="F349" s="4">
        <v>1</v>
      </c>
      <c r="G349" s="227">
        <v>1</v>
      </c>
    </row>
    <row r="350" spans="2:7" x14ac:dyDescent="0.2">
      <c r="B350" s="221"/>
      <c r="D350" s="241" t="s">
        <v>172</v>
      </c>
      <c r="E350" s="28">
        <v>51.923915718682103</v>
      </c>
      <c r="F350" s="4">
        <v>69971</v>
      </c>
      <c r="G350" s="227">
        <v>1</v>
      </c>
    </row>
    <row r="351" spans="2:7" x14ac:dyDescent="0.2">
      <c r="B351" s="221"/>
      <c r="D351" s="241" t="s">
        <v>190</v>
      </c>
      <c r="E351" s="28">
        <v>1.9976869225502001E-6</v>
      </c>
      <c r="F351" s="4">
        <v>1</v>
      </c>
      <c r="G351" s="227">
        <v>1</v>
      </c>
    </row>
    <row r="352" spans="2:7" x14ac:dyDescent="0.2">
      <c r="B352" s="221"/>
      <c r="D352" s="241" t="s">
        <v>113</v>
      </c>
      <c r="E352" s="28">
        <v>3.1191296875476799E-4</v>
      </c>
      <c r="F352" s="4">
        <v>4</v>
      </c>
      <c r="G352" s="227">
        <v>1</v>
      </c>
    </row>
    <row r="353" spans="2:7" x14ac:dyDescent="0.2">
      <c r="B353" s="221"/>
      <c r="D353" s="241" t="s">
        <v>90</v>
      </c>
      <c r="E353" s="28">
        <v>1.42231583595275E-5</v>
      </c>
      <c r="F353" s="4">
        <v>1</v>
      </c>
      <c r="G353" s="227">
        <v>1</v>
      </c>
    </row>
    <row r="354" spans="2:7" x14ac:dyDescent="0.2">
      <c r="B354" s="221"/>
      <c r="D354" s="241" t="s">
        <v>93</v>
      </c>
      <c r="E354" s="28">
        <v>9.0625602751970204E-4</v>
      </c>
      <c r="F354" s="4">
        <v>3</v>
      </c>
      <c r="G354" s="227">
        <v>1</v>
      </c>
    </row>
    <row r="355" spans="2:7" x14ac:dyDescent="0.2">
      <c r="B355" s="221"/>
      <c r="D355" s="241" t="s">
        <v>56</v>
      </c>
      <c r="E355" s="28">
        <v>2.8736889362335202E-5</v>
      </c>
      <c r="F355" s="4">
        <v>1</v>
      </c>
      <c r="G355" s="227">
        <v>1</v>
      </c>
    </row>
    <row r="356" spans="2:7" x14ac:dyDescent="0.2">
      <c r="B356" s="221"/>
      <c r="D356" s="241" t="s">
        <v>114</v>
      </c>
      <c r="E356" s="28">
        <v>2.5929417461156802E-4</v>
      </c>
      <c r="F356" s="4">
        <v>1</v>
      </c>
      <c r="G356" s="227">
        <v>1</v>
      </c>
    </row>
    <row r="357" spans="2:7" x14ac:dyDescent="0.2">
      <c r="B357" s="221"/>
      <c r="D357" s="241" t="s">
        <v>115</v>
      </c>
      <c r="E357" s="28">
        <v>9.3581154942512512E-5</v>
      </c>
      <c r="F357" s="4">
        <v>2</v>
      </c>
      <c r="G357" s="227">
        <v>2</v>
      </c>
    </row>
    <row r="358" spans="2:7" x14ac:dyDescent="0.2">
      <c r="B358" s="221"/>
      <c r="D358" s="241" t="s">
        <v>194</v>
      </c>
      <c r="E358" s="28">
        <v>9.1969966888427694E-5</v>
      </c>
      <c r="F358" s="4">
        <v>1</v>
      </c>
      <c r="G358" s="227">
        <v>1</v>
      </c>
    </row>
    <row r="359" spans="2:7" x14ac:dyDescent="0.2">
      <c r="B359" s="221"/>
      <c r="D359" s="241" t="s">
        <v>57</v>
      </c>
      <c r="E359" s="28">
        <v>6.69622421264648E-3</v>
      </c>
      <c r="F359" s="4">
        <v>5</v>
      </c>
      <c r="G359" s="227">
        <v>1</v>
      </c>
    </row>
    <row r="360" spans="2:7" x14ac:dyDescent="0.2">
      <c r="B360" s="221"/>
      <c r="D360" s="241" t="s">
        <v>163</v>
      </c>
      <c r="E360" s="28">
        <v>0.16977368015795888</v>
      </c>
      <c r="F360" s="4">
        <v>83</v>
      </c>
      <c r="G360" s="227">
        <v>2</v>
      </c>
    </row>
    <row r="361" spans="2:7" x14ac:dyDescent="0.2">
      <c r="B361" s="221"/>
      <c r="D361" s="241" t="s">
        <v>98</v>
      </c>
      <c r="E361" s="28">
        <v>3.2723165117204099E-2</v>
      </c>
      <c r="F361" s="4">
        <v>20</v>
      </c>
      <c r="G361" s="227">
        <v>1</v>
      </c>
    </row>
    <row r="362" spans="2:7" x14ac:dyDescent="0.2">
      <c r="B362" s="221"/>
      <c r="D362" s="241" t="s">
        <v>196</v>
      </c>
      <c r="E362" s="28">
        <v>5.3231790661811796E-4</v>
      </c>
      <c r="F362" s="4">
        <v>5</v>
      </c>
      <c r="G362" s="227">
        <v>1</v>
      </c>
    </row>
    <row r="363" spans="2:7" x14ac:dyDescent="0.2">
      <c r="B363" s="221"/>
      <c r="D363" s="241" t="s">
        <v>118</v>
      </c>
      <c r="E363" s="28">
        <v>3.9162114262580804E-6</v>
      </c>
      <c r="F363" s="4">
        <v>1</v>
      </c>
      <c r="G363" s="227">
        <v>1</v>
      </c>
    </row>
    <row r="364" spans="2:7" x14ac:dyDescent="0.2">
      <c r="B364" s="221"/>
      <c r="D364" s="241" t="s">
        <v>101</v>
      </c>
      <c r="E364" s="28">
        <v>1.0150765739381258</v>
      </c>
      <c r="F364" s="4">
        <v>1291</v>
      </c>
      <c r="G364" s="227">
        <v>5</v>
      </c>
    </row>
    <row r="365" spans="2:7" x14ac:dyDescent="0.2">
      <c r="B365" s="221"/>
      <c r="D365" s="241" t="s">
        <v>102</v>
      </c>
      <c r="E365" s="28">
        <v>2.0172446966171201E-6</v>
      </c>
      <c r="F365" s="4">
        <v>1</v>
      </c>
      <c r="G365" s="227">
        <v>1</v>
      </c>
    </row>
    <row r="366" spans="2:7" x14ac:dyDescent="0.2">
      <c r="B366" s="221"/>
      <c r="D366" s="241" t="s">
        <v>103</v>
      </c>
      <c r="E366" s="28">
        <v>9.0931542217731395E-5</v>
      </c>
      <c r="F366" s="4">
        <v>1</v>
      </c>
      <c r="G366" s="227">
        <v>1</v>
      </c>
    </row>
    <row r="367" spans="2:7" x14ac:dyDescent="0.2">
      <c r="B367" s="221"/>
      <c r="D367" s="241" t="s">
        <v>58</v>
      </c>
      <c r="E367" s="28">
        <v>3.1130202114582002E-4</v>
      </c>
      <c r="F367" s="4">
        <v>4</v>
      </c>
      <c r="G367" s="227">
        <v>2</v>
      </c>
    </row>
    <row r="368" spans="2:7" ht="17" thickBot="1" x14ac:dyDescent="0.25">
      <c r="B368" s="221"/>
      <c r="D368" s="241" t="s">
        <v>59</v>
      </c>
      <c r="E368" s="28">
        <v>5595.8353281747541</v>
      </c>
      <c r="F368" s="4">
        <v>11198784</v>
      </c>
      <c r="G368" s="227">
        <v>34</v>
      </c>
    </row>
    <row r="369" spans="2:7" ht="17" thickBot="1" x14ac:dyDescent="0.25">
      <c r="B369" s="222"/>
      <c r="C369" s="231" t="s">
        <v>4</v>
      </c>
      <c r="D369" s="68"/>
      <c r="E369" s="232">
        <v>2144513.5877302331</v>
      </c>
      <c r="F369" s="233">
        <v>451172570</v>
      </c>
      <c r="G369" s="234">
        <v>1537</v>
      </c>
    </row>
  </sheetData>
  <mergeCells count="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35"/>
  <sheetViews>
    <sheetView workbookViewId="0"/>
  </sheetViews>
  <sheetFormatPr baseColWidth="10" defaultRowHeight="16" x14ac:dyDescent="0.2"/>
  <cols>
    <col min="4" max="4" width="38.5703125" bestFit="1" customWidth="1"/>
    <col min="5" max="5" width="28.7109375" bestFit="1" customWidth="1"/>
    <col min="6" max="6" width="14.28515625" bestFit="1" customWidth="1"/>
    <col min="7" max="7" width="12.28515625" bestFit="1" customWidth="1"/>
  </cols>
  <sheetData>
    <row r="2" spans="2:15" ht="23" x14ac:dyDescent="0.2">
      <c r="C2" s="272" t="s">
        <v>150</v>
      </c>
      <c r="D2" s="272"/>
      <c r="E2" s="272"/>
      <c r="F2" s="272"/>
      <c r="G2" s="272"/>
      <c r="H2" s="272"/>
      <c r="I2" s="90"/>
      <c r="J2" s="90"/>
      <c r="K2" s="90"/>
      <c r="L2" s="90"/>
      <c r="M2" s="90"/>
      <c r="N2" s="90"/>
      <c r="O2" s="90"/>
    </row>
    <row r="3" spans="2:15" ht="18" x14ac:dyDescent="0.2">
      <c r="C3" s="270" t="s">
        <v>179</v>
      </c>
      <c r="D3" s="270"/>
      <c r="E3" s="270"/>
      <c r="F3" s="270"/>
      <c r="G3" s="270"/>
      <c r="H3" s="270"/>
    </row>
    <row r="4" spans="2:15" ht="17" thickBot="1" x14ac:dyDescent="0.25">
      <c r="B4" s="12"/>
      <c r="C4" s="12"/>
      <c r="D4" s="12"/>
      <c r="E4" s="12"/>
      <c r="F4" s="12"/>
      <c r="G4" s="12"/>
      <c r="H4" s="12"/>
      <c r="I4" s="12"/>
    </row>
    <row r="5" spans="2:15" ht="17" thickBot="1" x14ac:dyDescent="0.25">
      <c r="B5" s="6"/>
      <c r="C5" s="5" t="s">
        <v>28</v>
      </c>
      <c r="D5" s="185" t="s">
        <v>52</v>
      </c>
      <c r="E5" s="86" t="s">
        <v>119</v>
      </c>
      <c r="F5" s="16" t="s">
        <v>144</v>
      </c>
      <c r="G5" s="179" t="s">
        <v>145</v>
      </c>
      <c r="H5" s="179" t="s">
        <v>146</v>
      </c>
      <c r="I5" s="6"/>
    </row>
    <row r="6" spans="2:15" ht="17" thickBot="1" x14ac:dyDescent="0.25">
      <c r="B6" s="9"/>
      <c r="C6" s="187" t="s">
        <v>1</v>
      </c>
      <c r="D6" s="188"/>
      <c r="E6" s="188"/>
      <c r="F6" s="243">
        <v>2100191.9992472013</v>
      </c>
      <c r="G6" s="244">
        <v>412173327</v>
      </c>
      <c r="H6" s="245">
        <v>1263</v>
      </c>
      <c r="I6" s="9"/>
    </row>
    <row r="7" spans="2:15" ht="18" thickTop="1" thickBot="1" x14ac:dyDescent="0.25">
      <c r="B7" s="9"/>
      <c r="C7" s="186"/>
      <c r="D7" s="200" t="s">
        <v>31</v>
      </c>
      <c r="E7" s="9"/>
      <c r="F7" s="196">
        <v>2.74891965091228E-4</v>
      </c>
      <c r="G7" s="197">
        <v>1</v>
      </c>
      <c r="H7" s="198">
        <v>1</v>
      </c>
      <c r="I7" s="9"/>
    </row>
    <row r="8" spans="2:15" ht="17" thickBot="1" x14ac:dyDescent="0.25">
      <c r="B8" s="9"/>
      <c r="C8" s="186"/>
      <c r="D8" s="9"/>
      <c r="E8" s="248" t="s">
        <v>18</v>
      </c>
      <c r="F8" s="249">
        <v>2.74891965091228E-4</v>
      </c>
      <c r="G8" s="203">
        <v>1</v>
      </c>
      <c r="H8" s="204">
        <v>1</v>
      </c>
      <c r="I8" s="9"/>
    </row>
    <row r="9" spans="2:15" ht="17" thickBot="1" x14ac:dyDescent="0.25">
      <c r="B9" s="9"/>
      <c r="C9" s="186"/>
      <c r="D9" s="145" t="s">
        <v>33</v>
      </c>
      <c r="E9" s="207"/>
      <c r="F9" s="250">
        <v>783609.01109381858</v>
      </c>
      <c r="G9" s="251">
        <v>14884381</v>
      </c>
      <c r="H9" s="252">
        <v>125</v>
      </c>
      <c r="I9" s="9"/>
    </row>
    <row r="10" spans="2:15" x14ac:dyDescent="0.2">
      <c r="B10" s="9"/>
      <c r="C10" s="186"/>
      <c r="D10" s="9"/>
      <c r="E10" s="201" t="s">
        <v>6</v>
      </c>
      <c r="F10" s="142">
        <v>1.45494787488132</v>
      </c>
      <c r="G10" s="102">
        <v>16</v>
      </c>
      <c r="H10" s="105">
        <v>1</v>
      </c>
      <c r="I10" s="9"/>
    </row>
    <row r="11" spans="2:15" x14ac:dyDescent="0.2">
      <c r="B11" s="9"/>
      <c r="C11" s="186"/>
      <c r="D11" s="9"/>
      <c r="E11" s="201" t="s">
        <v>7</v>
      </c>
      <c r="F11" s="142">
        <v>2.8237085789442041E-3</v>
      </c>
      <c r="G11" s="102">
        <v>63</v>
      </c>
      <c r="H11" s="105">
        <v>2</v>
      </c>
      <c r="I11" s="9"/>
    </row>
    <row r="12" spans="2:15" x14ac:dyDescent="0.2">
      <c r="B12" s="9"/>
      <c r="C12" s="186"/>
      <c r="D12" s="9"/>
      <c r="E12" s="201" t="s">
        <v>8</v>
      </c>
      <c r="F12" s="142">
        <v>205.86139922309613</v>
      </c>
      <c r="G12" s="102">
        <v>873</v>
      </c>
      <c r="H12" s="105">
        <v>2</v>
      </c>
      <c r="I12" s="9"/>
    </row>
    <row r="13" spans="2:15" x14ac:dyDescent="0.2">
      <c r="B13" s="9"/>
      <c r="C13" s="186"/>
      <c r="D13" s="9"/>
      <c r="E13" s="201" t="s">
        <v>12</v>
      </c>
      <c r="F13" s="142">
        <v>33.570415602996945</v>
      </c>
      <c r="G13" s="102">
        <v>173</v>
      </c>
      <c r="H13" s="105">
        <v>4</v>
      </c>
      <c r="I13" s="9"/>
    </row>
    <row r="14" spans="2:15" x14ac:dyDescent="0.2">
      <c r="B14" s="9"/>
      <c r="C14" s="186"/>
      <c r="D14" s="9"/>
      <c r="E14" s="201" t="s">
        <v>13</v>
      </c>
      <c r="F14" s="142">
        <v>327.15081452112548</v>
      </c>
      <c r="G14" s="102">
        <v>1572</v>
      </c>
      <c r="H14" s="105">
        <v>10</v>
      </c>
      <c r="I14" s="9"/>
    </row>
    <row r="15" spans="2:15" x14ac:dyDescent="0.2">
      <c r="B15" s="9"/>
      <c r="C15" s="186"/>
      <c r="D15" s="9"/>
      <c r="E15" s="201" t="s">
        <v>15</v>
      </c>
      <c r="F15" s="142">
        <v>7.614536390639838</v>
      </c>
      <c r="G15" s="102">
        <v>112</v>
      </c>
      <c r="H15" s="105">
        <v>2</v>
      </c>
      <c r="I15" s="9"/>
    </row>
    <row r="16" spans="2:15" x14ac:dyDescent="0.2">
      <c r="B16" s="9"/>
      <c r="C16" s="186"/>
      <c r="D16" s="9"/>
      <c r="E16" s="201" t="s">
        <v>17</v>
      </c>
      <c r="F16" s="142">
        <v>1226.9820860698806</v>
      </c>
      <c r="G16" s="102">
        <v>1655139</v>
      </c>
      <c r="H16" s="105">
        <v>9</v>
      </c>
      <c r="I16" s="9"/>
    </row>
    <row r="17" spans="2:9" x14ac:dyDescent="0.2">
      <c r="B17" s="9"/>
      <c r="C17" s="186"/>
      <c r="D17" s="9"/>
      <c r="E17" s="201" t="s">
        <v>18</v>
      </c>
      <c r="F17" s="142">
        <v>136.04338922817166</v>
      </c>
      <c r="G17" s="102">
        <v>4108</v>
      </c>
      <c r="H17" s="105">
        <v>88</v>
      </c>
      <c r="I17" s="9"/>
    </row>
    <row r="18" spans="2:9" x14ac:dyDescent="0.2">
      <c r="B18" s="9"/>
      <c r="C18" s="186"/>
      <c r="D18" s="9"/>
      <c r="E18" s="201" t="s">
        <v>120</v>
      </c>
      <c r="F18" s="142">
        <v>781659.4525814699</v>
      </c>
      <c r="G18" s="102">
        <v>13222276</v>
      </c>
      <c r="H18" s="105">
        <v>5</v>
      </c>
      <c r="I18" s="9"/>
    </row>
    <row r="19" spans="2:9" x14ac:dyDescent="0.2">
      <c r="B19" s="9"/>
      <c r="C19" s="186"/>
      <c r="D19" s="9"/>
      <c r="E19" s="201" t="s">
        <v>153</v>
      </c>
      <c r="F19" s="142">
        <v>2.6365369558334302E-4</v>
      </c>
      <c r="G19" s="102">
        <v>5</v>
      </c>
      <c r="H19" s="105">
        <v>1</v>
      </c>
      <c r="I19" s="9"/>
    </row>
    <row r="20" spans="2:9" ht="17" thickBot="1" x14ac:dyDescent="0.25">
      <c r="B20" s="9"/>
      <c r="C20" s="186"/>
      <c r="D20" s="9"/>
      <c r="E20" s="201" t="s">
        <v>20</v>
      </c>
      <c r="F20" s="142">
        <v>10.8778360756114</v>
      </c>
      <c r="G20" s="102">
        <v>44</v>
      </c>
      <c r="H20" s="105">
        <v>1</v>
      </c>
      <c r="I20" s="9"/>
    </row>
    <row r="21" spans="2:9" ht="17" thickBot="1" x14ac:dyDescent="0.25">
      <c r="B21" s="9"/>
      <c r="C21" s="186"/>
      <c r="D21" s="145" t="s">
        <v>35</v>
      </c>
      <c r="E21" s="191"/>
      <c r="F21" s="192">
        <v>408.17529076337701</v>
      </c>
      <c r="G21" s="193">
        <v>3078</v>
      </c>
      <c r="H21" s="194">
        <v>16</v>
      </c>
      <c r="I21" s="9"/>
    </row>
    <row r="22" spans="2:9" x14ac:dyDescent="0.2">
      <c r="B22" s="9"/>
      <c r="C22" s="186"/>
      <c r="D22" s="9"/>
      <c r="E22" s="201" t="s">
        <v>8</v>
      </c>
      <c r="F22" s="142">
        <v>102.72619164083089</v>
      </c>
      <c r="G22" s="102">
        <v>790</v>
      </c>
      <c r="H22" s="105">
        <v>2</v>
      </c>
      <c r="I22" s="9"/>
    </row>
    <row r="23" spans="2:9" x14ac:dyDescent="0.2">
      <c r="B23" s="9"/>
      <c r="C23" s="186"/>
      <c r="D23" s="9"/>
      <c r="E23" s="201" t="s">
        <v>12</v>
      </c>
      <c r="F23" s="142">
        <v>64.548479220829762</v>
      </c>
      <c r="G23" s="102">
        <v>433</v>
      </c>
      <c r="H23" s="105">
        <v>7</v>
      </c>
      <c r="I23" s="9"/>
    </row>
    <row r="24" spans="2:9" x14ac:dyDescent="0.2">
      <c r="B24" s="9"/>
      <c r="C24" s="186"/>
      <c r="D24" s="9"/>
      <c r="E24" s="201" t="s">
        <v>13</v>
      </c>
      <c r="F24" s="142">
        <v>4.0613858988508502</v>
      </c>
      <c r="G24" s="102">
        <v>27</v>
      </c>
      <c r="H24" s="105">
        <v>1</v>
      </c>
      <c r="I24" s="9"/>
    </row>
    <row r="25" spans="2:9" x14ac:dyDescent="0.2">
      <c r="B25" s="9"/>
      <c r="C25" s="186"/>
      <c r="D25" s="9"/>
      <c r="E25" s="201" t="s">
        <v>17</v>
      </c>
      <c r="F25" s="142">
        <v>45.192096665501495</v>
      </c>
      <c r="G25" s="102">
        <v>310</v>
      </c>
      <c r="H25" s="105">
        <v>4</v>
      </c>
      <c r="I25" s="9"/>
    </row>
    <row r="26" spans="2:9" ht="17" thickBot="1" x14ac:dyDescent="0.25">
      <c r="B26" s="9"/>
      <c r="C26" s="186"/>
      <c r="D26" s="9"/>
      <c r="E26" s="202" t="s">
        <v>120</v>
      </c>
      <c r="F26" s="144">
        <v>191.647137337364</v>
      </c>
      <c r="G26" s="104">
        <v>1518</v>
      </c>
      <c r="H26" s="106">
        <v>2</v>
      </c>
      <c r="I26" s="9"/>
    </row>
    <row r="27" spans="2:9" ht="17" thickBot="1" x14ac:dyDescent="0.25">
      <c r="B27" s="9"/>
      <c r="C27" s="186"/>
      <c r="D27" s="145" t="s">
        <v>37</v>
      </c>
      <c r="E27" s="191"/>
      <c r="F27" s="192">
        <v>9.2783179134130409E-3</v>
      </c>
      <c r="G27" s="193">
        <v>1</v>
      </c>
      <c r="H27" s="194">
        <v>1</v>
      </c>
      <c r="I27" s="9"/>
    </row>
    <row r="28" spans="2:9" ht="17" thickBot="1" x14ac:dyDescent="0.25">
      <c r="B28" s="9"/>
      <c r="C28" s="186"/>
      <c r="D28" s="9"/>
      <c r="E28" s="201" t="s">
        <v>18</v>
      </c>
      <c r="F28" s="142">
        <v>9.2783179134130409E-3</v>
      </c>
      <c r="G28" s="102">
        <v>1</v>
      </c>
      <c r="H28" s="105">
        <v>1</v>
      </c>
      <c r="I28" s="9"/>
    </row>
    <row r="29" spans="2:9" ht="17" thickBot="1" x14ac:dyDescent="0.25">
      <c r="B29" s="9"/>
      <c r="C29" s="186"/>
      <c r="D29" s="145" t="s">
        <v>39</v>
      </c>
      <c r="E29" s="191"/>
      <c r="F29" s="192">
        <v>75015.796343838621</v>
      </c>
      <c r="G29" s="193">
        <v>21173634</v>
      </c>
      <c r="H29" s="194">
        <v>532</v>
      </c>
      <c r="I29" s="9"/>
    </row>
    <row r="30" spans="2:9" x14ac:dyDescent="0.2">
      <c r="B30" s="9"/>
      <c r="C30" s="186"/>
      <c r="D30" s="9"/>
      <c r="E30" s="201" t="s">
        <v>6</v>
      </c>
      <c r="F30" s="142">
        <v>1.87285699043422</v>
      </c>
      <c r="G30" s="102">
        <v>280</v>
      </c>
      <c r="H30" s="105">
        <v>1</v>
      </c>
      <c r="I30" s="9"/>
    </row>
    <row r="31" spans="2:9" x14ac:dyDescent="0.2">
      <c r="B31" s="9"/>
      <c r="C31" s="186"/>
      <c r="D31" s="9"/>
      <c r="E31" s="201" t="s">
        <v>7</v>
      </c>
      <c r="F31" s="142">
        <v>6.881010450422762</v>
      </c>
      <c r="G31" s="102">
        <v>1517</v>
      </c>
      <c r="H31" s="105">
        <v>5</v>
      </c>
      <c r="I31" s="9"/>
    </row>
    <row r="32" spans="2:9" x14ac:dyDescent="0.2">
      <c r="B32" s="9"/>
      <c r="C32" s="186"/>
      <c r="D32" s="9"/>
      <c r="E32" s="201" t="s">
        <v>8</v>
      </c>
      <c r="F32" s="142">
        <v>215.61862225271747</v>
      </c>
      <c r="G32" s="102">
        <v>64554</v>
      </c>
      <c r="H32" s="105">
        <v>5</v>
      </c>
      <c r="I32" s="9"/>
    </row>
    <row r="33" spans="2:10" x14ac:dyDescent="0.2">
      <c r="B33" s="9"/>
      <c r="C33" s="186"/>
      <c r="D33" s="9"/>
      <c r="E33" s="201" t="s">
        <v>9</v>
      </c>
      <c r="F33" s="142">
        <v>3.1910226680338299E-2</v>
      </c>
      <c r="G33" s="102">
        <v>10</v>
      </c>
      <c r="H33" s="105">
        <v>1</v>
      </c>
      <c r="I33" s="9"/>
    </row>
    <row r="34" spans="2:10" x14ac:dyDescent="0.2">
      <c r="B34" s="9"/>
      <c r="C34" s="186"/>
      <c r="D34" s="9"/>
      <c r="E34" s="201" t="s">
        <v>10</v>
      </c>
      <c r="F34" s="142">
        <v>1.9392702728509899E-2</v>
      </c>
      <c r="G34" s="102">
        <v>4</v>
      </c>
      <c r="H34" s="105">
        <v>1</v>
      </c>
      <c r="I34" s="9"/>
    </row>
    <row r="35" spans="2:10" x14ac:dyDescent="0.2">
      <c r="B35" s="9"/>
      <c r="C35" s="186"/>
      <c r="D35" s="9"/>
      <c r="E35" s="201" t="s">
        <v>11</v>
      </c>
      <c r="F35" s="142">
        <v>7868.0063439784526</v>
      </c>
      <c r="G35" s="102">
        <v>1226942</v>
      </c>
      <c r="H35" s="105">
        <v>3</v>
      </c>
      <c r="I35" s="9"/>
    </row>
    <row r="36" spans="2:10" x14ac:dyDescent="0.2">
      <c r="B36" s="9"/>
      <c r="C36" s="186"/>
      <c r="D36" s="9"/>
      <c r="E36" s="201" t="s">
        <v>12</v>
      </c>
      <c r="F36" s="142">
        <v>16.316157852299419</v>
      </c>
      <c r="G36" s="102">
        <v>3546</v>
      </c>
      <c r="H36" s="105">
        <v>8</v>
      </c>
      <c r="I36" s="9"/>
    </row>
    <row r="37" spans="2:10" x14ac:dyDescent="0.2">
      <c r="B37" s="9"/>
      <c r="C37" s="186"/>
      <c r="D37" s="9"/>
      <c r="E37" s="201" t="s">
        <v>13</v>
      </c>
      <c r="F37" s="142">
        <v>599.12723364680983</v>
      </c>
      <c r="G37" s="102">
        <v>109324</v>
      </c>
      <c r="H37" s="105">
        <v>23</v>
      </c>
      <c r="I37" s="9"/>
    </row>
    <row r="38" spans="2:10" x14ac:dyDescent="0.2">
      <c r="B38" s="9"/>
      <c r="C38" s="186"/>
      <c r="D38" s="9"/>
      <c r="E38" s="201" t="s">
        <v>14</v>
      </c>
      <c r="F38" s="142">
        <v>10656.596658962759</v>
      </c>
      <c r="G38" s="102">
        <v>3283639</v>
      </c>
      <c r="H38" s="105">
        <v>6</v>
      </c>
      <c r="I38" s="9"/>
    </row>
    <row r="39" spans="2:10" x14ac:dyDescent="0.2">
      <c r="B39" s="9"/>
      <c r="C39" s="186"/>
      <c r="D39" s="9"/>
      <c r="E39" s="201" t="s">
        <v>15</v>
      </c>
      <c r="F39" s="142">
        <v>1947.1877948734832</v>
      </c>
      <c r="G39" s="102">
        <v>301509</v>
      </c>
      <c r="H39" s="105">
        <v>4</v>
      </c>
      <c r="I39" s="9"/>
    </row>
    <row r="40" spans="2:10" x14ac:dyDescent="0.2">
      <c r="B40" s="9"/>
      <c r="C40" s="186"/>
      <c r="D40" s="9"/>
      <c r="E40" s="201" t="s">
        <v>16</v>
      </c>
      <c r="F40" s="142">
        <v>10.476960942149153</v>
      </c>
      <c r="G40" s="102">
        <v>2279</v>
      </c>
      <c r="H40" s="105">
        <v>7</v>
      </c>
      <c r="I40" s="9"/>
    </row>
    <row r="41" spans="2:10" x14ac:dyDescent="0.2">
      <c r="B41" s="9"/>
      <c r="C41" s="186"/>
      <c r="D41" s="9"/>
      <c r="E41" s="201" t="s">
        <v>17</v>
      </c>
      <c r="F41" s="142">
        <v>5719.4796973196735</v>
      </c>
      <c r="G41" s="102">
        <v>3938040</v>
      </c>
      <c r="H41" s="105">
        <v>35</v>
      </c>
      <c r="I41" s="9"/>
    </row>
    <row r="42" spans="2:10" x14ac:dyDescent="0.2">
      <c r="B42" s="9"/>
      <c r="C42" s="186"/>
      <c r="D42" s="9"/>
      <c r="E42" s="201" t="s">
        <v>18</v>
      </c>
      <c r="F42" s="142">
        <v>473.83057466428676</v>
      </c>
      <c r="G42" s="102">
        <v>72917</v>
      </c>
      <c r="H42" s="105">
        <v>438</v>
      </c>
      <c r="I42" s="9"/>
    </row>
    <row r="43" spans="2:10" x14ac:dyDescent="0.2">
      <c r="B43" s="9"/>
      <c r="C43" s="186"/>
      <c r="D43" s="9"/>
      <c r="E43" s="201" t="s">
        <v>120</v>
      </c>
      <c r="F43" s="142">
        <v>1228987.1628163613</v>
      </c>
      <c r="G43" s="102">
        <v>388104522</v>
      </c>
      <c r="H43" s="105">
        <v>44</v>
      </c>
      <c r="I43" s="9"/>
    </row>
    <row r="44" spans="2:10" x14ac:dyDescent="0.2">
      <c r="B44" s="9"/>
      <c r="C44" s="186"/>
      <c r="D44" s="9"/>
      <c r="E44" s="201" t="s">
        <v>153</v>
      </c>
      <c r="F44" s="142">
        <v>1.44852511584758E-2</v>
      </c>
      <c r="G44" s="102">
        <v>6</v>
      </c>
      <c r="H44" s="105">
        <v>1</v>
      </c>
      <c r="I44" s="9"/>
      <c r="J44" s="253"/>
    </row>
    <row r="45" spans="2:10" ht="17" thickBot="1" x14ac:dyDescent="0.25">
      <c r="B45" s="9"/>
      <c r="C45" s="186"/>
      <c r="D45" s="9"/>
      <c r="E45" s="201" t="s">
        <v>169</v>
      </c>
      <c r="F45" s="142">
        <v>0.227019097656011</v>
      </c>
      <c r="G45" s="102">
        <v>34</v>
      </c>
      <c r="H45" s="105">
        <v>1</v>
      </c>
      <c r="I45" s="9" t="s">
        <v>175</v>
      </c>
      <c r="J45" s="254"/>
    </row>
    <row r="46" spans="2:10" ht="17" thickBot="1" x14ac:dyDescent="0.25">
      <c r="B46" s="9"/>
      <c r="C46" s="186"/>
      <c r="D46" s="145" t="s">
        <v>41</v>
      </c>
      <c r="E46" s="191"/>
      <c r="F46" s="192">
        <v>62.702269048429969</v>
      </c>
      <c r="G46" s="193">
        <v>11690</v>
      </c>
      <c r="H46" s="194">
        <v>37</v>
      </c>
      <c r="I46" s="9" t="s">
        <v>175</v>
      </c>
      <c r="J46" s="254"/>
    </row>
    <row r="47" spans="2:10" x14ac:dyDescent="0.2">
      <c r="B47" s="9"/>
      <c r="C47" s="186"/>
      <c r="D47" s="9"/>
      <c r="E47" s="201" t="s">
        <v>6</v>
      </c>
      <c r="F47" s="142">
        <v>1.36364828795194E-2</v>
      </c>
      <c r="G47" s="102">
        <v>1</v>
      </c>
      <c r="H47" s="105">
        <v>1</v>
      </c>
      <c r="I47" s="9" t="s">
        <v>175</v>
      </c>
      <c r="J47" s="254"/>
    </row>
    <row r="48" spans="2:10" x14ac:dyDescent="0.2">
      <c r="B48" s="9"/>
      <c r="C48" s="186"/>
      <c r="D48" s="9"/>
      <c r="E48" s="201" t="s">
        <v>7</v>
      </c>
      <c r="F48" s="142">
        <v>3.8516260683536499E-3</v>
      </c>
      <c r="G48" s="102">
        <v>1</v>
      </c>
      <c r="H48" s="105">
        <v>1</v>
      </c>
      <c r="I48" s="9" t="s">
        <v>175</v>
      </c>
      <c r="J48" s="254"/>
    </row>
    <row r="49" spans="2:10" x14ac:dyDescent="0.2">
      <c r="B49" s="9"/>
      <c r="C49" s="186"/>
      <c r="D49" s="9"/>
      <c r="E49" s="201" t="s">
        <v>8</v>
      </c>
      <c r="F49" s="142">
        <v>6.62490248773247</v>
      </c>
      <c r="G49" s="102">
        <v>822</v>
      </c>
      <c r="H49" s="105">
        <v>1</v>
      </c>
      <c r="I49" s="9"/>
      <c r="J49" s="254"/>
    </row>
    <row r="50" spans="2:10" x14ac:dyDescent="0.2">
      <c r="B50" s="9"/>
      <c r="C50" s="186"/>
      <c r="D50" s="9"/>
      <c r="E50" s="201" t="s">
        <v>12</v>
      </c>
      <c r="F50" s="142">
        <v>1.62005415186285E-2</v>
      </c>
      <c r="G50" s="102">
        <v>1</v>
      </c>
      <c r="H50" s="105">
        <v>1</v>
      </c>
      <c r="I50" s="9"/>
      <c r="J50" s="254"/>
    </row>
    <row r="51" spans="2:10" x14ac:dyDescent="0.2">
      <c r="B51" s="9"/>
      <c r="C51" s="186"/>
      <c r="D51" s="9"/>
      <c r="E51" s="201" t="s">
        <v>13</v>
      </c>
      <c r="F51" s="142">
        <v>18.982101897709043</v>
      </c>
      <c r="G51" s="102">
        <v>2049</v>
      </c>
      <c r="H51" s="105">
        <v>5</v>
      </c>
      <c r="I51" s="9" t="s">
        <v>175</v>
      </c>
      <c r="J51" s="254"/>
    </row>
    <row r="52" spans="2:10" x14ac:dyDescent="0.2">
      <c r="B52" s="9"/>
      <c r="C52" s="186"/>
      <c r="D52" s="9"/>
      <c r="E52" s="201" t="s">
        <v>14</v>
      </c>
      <c r="F52" s="142">
        <v>0.16078260447829867</v>
      </c>
      <c r="G52" s="102">
        <v>128</v>
      </c>
      <c r="H52" s="105">
        <v>3</v>
      </c>
      <c r="I52" s="9" t="s">
        <v>175</v>
      </c>
      <c r="J52" s="254"/>
    </row>
    <row r="53" spans="2:10" x14ac:dyDescent="0.2">
      <c r="B53" s="9"/>
      <c r="C53" s="186"/>
      <c r="D53" s="9"/>
      <c r="E53" s="201" t="s">
        <v>16</v>
      </c>
      <c r="F53" s="142">
        <v>1.2777046598494</v>
      </c>
      <c r="G53" s="102">
        <v>84</v>
      </c>
      <c r="H53" s="105">
        <v>1</v>
      </c>
      <c r="I53" s="9" t="s">
        <v>175</v>
      </c>
      <c r="J53" s="254"/>
    </row>
    <row r="54" spans="2:10" x14ac:dyDescent="0.2">
      <c r="B54" s="9"/>
      <c r="C54" s="186"/>
      <c r="D54" s="9"/>
      <c r="E54" s="201" t="s">
        <v>17</v>
      </c>
      <c r="F54" s="142">
        <v>0.39252666756510651</v>
      </c>
      <c r="G54" s="102">
        <v>3913</v>
      </c>
      <c r="H54" s="105">
        <v>5</v>
      </c>
      <c r="I54" s="9"/>
      <c r="J54" s="254"/>
    </row>
    <row r="55" spans="2:10" x14ac:dyDescent="0.2">
      <c r="B55" s="9"/>
      <c r="C55" s="186"/>
      <c r="D55" s="9"/>
      <c r="E55" s="201" t="s">
        <v>18</v>
      </c>
      <c r="F55" s="142">
        <v>4.22181237861514</v>
      </c>
      <c r="G55" s="102">
        <v>680</v>
      </c>
      <c r="H55" s="105">
        <v>11</v>
      </c>
      <c r="I55" s="9"/>
      <c r="J55" s="254"/>
    </row>
    <row r="56" spans="2:10" x14ac:dyDescent="0.2">
      <c r="B56" s="9"/>
      <c r="C56" s="186"/>
      <c r="D56" s="9"/>
      <c r="E56" s="201" t="s">
        <v>120</v>
      </c>
      <c r="F56" s="142">
        <v>29.676949406973996</v>
      </c>
      <c r="G56" s="102">
        <v>3794</v>
      </c>
      <c r="H56" s="105">
        <v>6</v>
      </c>
      <c r="I56" s="9"/>
      <c r="J56" s="253"/>
    </row>
    <row r="57" spans="2:10" x14ac:dyDescent="0.2">
      <c r="B57" s="9"/>
      <c r="C57" s="186"/>
      <c r="D57" s="9"/>
      <c r="E57" s="201" t="s">
        <v>153</v>
      </c>
      <c r="F57" s="142">
        <v>1.1019810102879999E-2</v>
      </c>
      <c r="G57" s="102">
        <v>11</v>
      </c>
      <c r="H57" s="105">
        <v>1</v>
      </c>
      <c r="I57" s="9"/>
      <c r="J57" s="254"/>
    </row>
    <row r="58" spans="2:10" ht="17" thickBot="1" x14ac:dyDescent="0.25">
      <c r="B58" s="9"/>
      <c r="C58" s="186"/>
      <c r="D58" s="9"/>
      <c r="E58" s="201" t="s">
        <v>20</v>
      </c>
      <c r="F58" s="142">
        <v>1.3207804849371301</v>
      </c>
      <c r="G58" s="102">
        <v>206</v>
      </c>
      <c r="H58" s="105">
        <v>1</v>
      </c>
      <c r="I58" s="9"/>
      <c r="J58" s="254"/>
    </row>
    <row r="59" spans="2:10" ht="17" thickBot="1" x14ac:dyDescent="0.25">
      <c r="B59" s="9"/>
      <c r="C59" s="186"/>
      <c r="D59" s="145" t="s">
        <v>139</v>
      </c>
      <c r="E59" s="191"/>
      <c r="F59" s="192">
        <v>21044.885569944945</v>
      </c>
      <c r="G59" s="193">
        <v>146606</v>
      </c>
      <c r="H59" s="194">
        <v>186</v>
      </c>
      <c r="I59" s="9"/>
      <c r="J59" s="254"/>
    </row>
    <row r="60" spans="2:10" x14ac:dyDescent="0.2">
      <c r="B60" s="9"/>
      <c r="C60" s="186"/>
      <c r="D60" s="9"/>
      <c r="E60" s="201" t="s">
        <v>8</v>
      </c>
      <c r="F60" s="142">
        <v>10.799363268539301</v>
      </c>
      <c r="G60" s="102">
        <v>163</v>
      </c>
      <c r="H60" s="105">
        <v>2</v>
      </c>
      <c r="I60" s="9"/>
      <c r="J60" s="254"/>
    </row>
    <row r="61" spans="2:10" x14ac:dyDescent="0.2">
      <c r="B61" s="9"/>
      <c r="C61" s="186"/>
      <c r="D61" s="9"/>
      <c r="E61" s="201" t="s">
        <v>11</v>
      </c>
      <c r="F61" s="142">
        <v>24.023725309409201</v>
      </c>
      <c r="G61" s="102">
        <v>559</v>
      </c>
      <c r="H61" s="105">
        <v>1</v>
      </c>
      <c r="I61" s="9"/>
      <c r="J61" s="254"/>
    </row>
    <row r="62" spans="2:10" x14ac:dyDescent="0.2">
      <c r="B62" s="9"/>
      <c r="C62" s="186"/>
      <c r="D62" s="9"/>
      <c r="E62" s="201" t="s">
        <v>12</v>
      </c>
      <c r="F62" s="142">
        <v>10.043951210565865</v>
      </c>
      <c r="G62" s="102">
        <v>28</v>
      </c>
      <c r="H62" s="105">
        <v>2</v>
      </c>
      <c r="I62" s="9"/>
      <c r="J62" s="254"/>
    </row>
    <row r="63" spans="2:10" x14ac:dyDescent="0.2">
      <c r="B63" s="9"/>
      <c r="C63" s="186"/>
      <c r="D63" s="9"/>
      <c r="E63" s="201" t="s">
        <v>13</v>
      </c>
      <c r="F63" s="142">
        <v>4394.3758878586696</v>
      </c>
      <c r="G63" s="102">
        <v>16898</v>
      </c>
      <c r="H63" s="105">
        <v>24</v>
      </c>
      <c r="I63" s="9"/>
      <c r="J63" s="254"/>
    </row>
    <row r="64" spans="2:10" x14ac:dyDescent="0.2">
      <c r="B64" s="9"/>
      <c r="C64" s="186"/>
      <c r="D64" s="9"/>
      <c r="E64" s="201" t="s">
        <v>16</v>
      </c>
      <c r="F64" s="142">
        <v>92.934202674776301</v>
      </c>
      <c r="G64" s="102">
        <v>294</v>
      </c>
      <c r="H64" s="105">
        <v>5</v>
      </c>
      <c r="I64" s="9"/>
    </row>
    <row r="65" spans="2:10" x14ac:dyDescent="0.2">
      <c r="B65" s="9"/>
      <c r="C65" s="186"/>
      <c r="D65" s="9"/>
      <c r="E65" s="201" t="s">
        <v>17</v>
      </c>
      <c r="F65" s="142">
        <v>2882.5780651923178</v>
      </c>
      <c r="G65" s="102">
        <v>26553</v>
      </c>
      <c r="H65" s="105">
        <v>13</v>
      </c>
      <c r="I65" s="9"/>
    </row>
    <row r="66" spans="2:10" x14ac:dyDescent="0.2">
      <c r="B66" s="9"/>
      <c r="C66" s="186"/>
      <c r="D66" s="9"/>
      <c r="E66" s="201" t="s">
        <v>18</v>
      </c>
      <c r="F66" s="142">
        <v>44.385127911344028</v>
      </c>
      <c r="G66" s="102">
        <v>16660</v>
      </c>
      <c r="H66" s="105">
        <v>123</v>
      </c>
      <c r="I66" s="9"/>
    </row>
    <row r="67" spans="2:10" x14ac:dyDescent="0.2">
      <c r="B67" s="9"/>
      <c r="C67" s="186"/>
      <c r="D67" s="9"/>
      <c r="E67" s="201" t="s">
        <v>120</v>
      </c>
      <c r="F67" s="142">
        <v>13509.553351269091</v>
      </c>
      <c r="G67" s="102">
        <v>85181</v>
      </c>
      <c r="H67" s="105">
        <v>15</v>
      </c>
      <c r="I67" s="9"/>
    </row>
    <row r="68" spans="2:10" ht="17" thickBot="1" x14ac:dyDescent="0.25">
      <c r="B68" s="9"/>
      <c r="C68" s="186"/>
      <c r="D68" s="9"/>
      <c r="E68" s="201" t="s">
        <v>19</v>
      </c>
      <c r="F68" s="142">
        <v>76.191895250230999</v>
      </c>
      <c r="G68" s="102">
        <v>270</v>
      </c>
      <c r="H68" s="105">
        <v>1</v>
      </c>
      <c r="I68" s="9"/>
    </row>
    <row r="69" spans="2:10" ht="17" thickBot="1" x14ac:dyDescent="0.25">
      <c r="B69" s="9"/>
      <c r="C69" s="186"/>
      <c r="D69" s="145" t="s">
        <v>174</v>
      </c>
      <c r="E69" s="191"/>
      <c r="F69" s="192">
        <v>1.2329200282692901E-2</v>
      </c>
      <c r="G69" s="193">
        <v>264</v>
      </c>
      <c r="H69" s="194">
        <v>2</v>
      </c>
      <c r="I69" s="9"/>
      <c r="J69" s="254"/>
    </row>
    <row r="70" spans="2:10" ht="17" thickBot="1" x14ac:dyDescent="0.25">
      <c r="B70" s="9"/>
      <c r="C70" s="186"/>
      <c r="D70" s="9"/>
      <c r="E70" s="201" t="s">
        <v>18</v>
      </c>
      <c r="F70" s="142">
        <v>1.2329200282692901E-2</v>
      </c>
      <c r="G70" s="102">
        <v>264</v>
      </c>
      <c r="H70" s="105">
        <v>2</v>
      </c>
      <c r="I70" s="9"/>
      <c r="J70" s="254"/>
    </row>
    <row r="71" spans="2:10" ht="17" thickBot="1" x14ac:dyDescent="0.25">
      <c r="B71" s="9"/>
      <c r="C71" s="186"/>
      <c r="D71" s="145" t="s">
        <v>142</v>
      </c>
      <c r="E71" s="191"/>
      <c r="F71" s="192">
        <v>38564.353605642827</v>
      </c>
      <c r="G71" s="193">
        <v>18183</v>
      </c>
      <c r="H71" s="194">
        <v>312</v>
      </c>
      <c r="I71" s="9"/>
    </row>
    <row r="72" spans="2:10" x14ac:dyDescent="0.2">
      <c r="B72" s="9"/>
      <c r="C72" s="186"/>
      <c r="D72" s="9"/>
      <c r="E72" s="201" t="s">
        <v>11</v>
      </c>
      <c r="F72" s="142">
        <v>2.0742034595459602</v>
      </c>
      <c r="G72" s="102">
        <v>1</v>
      </c>
      <c r="H72" s="105">
        <v>1</v>
      </c>
      <c r="I72" s="9"/>
    </row>
    <row r="73" spans="2:10" x14ac:dyDescent="0.2">
      <c r="B73" s="9"/>
      <c r="C73" s="186"/>
      <c r="D73" s="9"/>
      <c r="E73" s="201" t="s">
        <v>13</v>
      </c>
      <c r="F73" s="142">
        <v>37867.468789433042</v>
      </c>
      <c r="G73" s="102">
        <v>2205</v>
      </c>
      <c r="H73" s="105">
        <v>3</v>
      </c>
      <c r="I73" s="9"/>
    </row>
    <row r="74" spans="2:10" x14ac:dyDescent="0.2">
      <c r="B74" s="9"/>
      <c r="C74" s="186"/>
      <c r="D74" s="9"/>
      <c r="E74" s="201" t="s">
        <v>15</v>
      </c>
      <c r="F74" s="142">
        <v>10.289509939029809</v>
      </c>
      <c r="G74" s="102">
        <v>5</v>
      </c>
      <c r="H74" s="105">
        <v>2</v>
      </c>
      <c r="I74" s="9"/>
    </row>
    <row r="75" spans="2:10" x14ac:dyDescent="0.2">
      <c r="B75" s="9"/>
      <c r="C75" s="186"/>
      <c r="D75" s="9"/>
      <c r="E75" s="201" t="s">
        <v>17</v>
      </c>
      <c r="F75" s="142">
        <v>4.1152948355302117</v>
      </c>
      <c r="G75" s="102">
        <v>2</v>
      </c>
      <c r="H75" s="105">
        <v>3</v>
      </c>
      <c r="I75" s="9"/>
    </row>
    <row r="76" spans="2:10" x14ac:dyDescent="0.2">
      <c r="B76" s="9"/>
      <c r="C76" s="186"/>
      <c r="D76" s="9"/>
      <c r="E76" s="201" t="s">
        <v>18</v>
      </c>
      <c r="F76" s="142">
        <v>17.772918919101336</v>
      </c>
      <c r="G76" s="102">
        <v>14478</v>
      </c>
      <c r="H76" s="105">
        <v>297</v>
      </c>
      <c r="I76" s="9"/>
    </row>
    <row r="77" spans="2:10" x14ac:dyDescent="0.2">
      <c r="B77" s="9"/>
      <c r="C77" s="186"/>
      <c r="D77" s="9"/>
      <c r="E77" s="201" t="s">
        <v>120</v>
      </c>
      <c r="F77" s="142">
        <v>654.21593637019316</v>
      </c>
      <c r="G77" s="102">
        <v>1486</v>
      </c>
      <c r="H77" s="105">
        <v>4</v>
      </c>
      <c r="I77" s="9"/>
    </row>
    <row r="78" spans="2:10" x14ac:dyDescent="0.2">
      <c r="B78" s="9"/>
      <c r="C78" s="186"/>
      <c r="D78" s="9"/>
      <c r="E78" s="201" t="s">
        <v>153</v>
      </c>
      <c r="F78" s="142">
        <v>7.0292502641677802E-5</v>
      </c>
      <c r="G78" s="102">
        <v>0</v>
      </c>
      <c r="H78" s="105">
        <v>1</v>
      </c>
      <c r="I78" s="9"/>
    </row>
    <row r="79" spans="2:10" ht="17" thickBot="1" x14ac:dyDescent="0.25">
      <c r="B79" s="9"/>
      <c r="C79" s="186"/>
      <c r="D79" s="9"/>
      <c r="E79" s="201" t="s">
        <v>20</v>
      </c>
      <c r="F79" s="142">
        <v>8.4168823938816697</v>
      </c>
      <c r="G79" s="102">
        <v>6</v>
      </c>
      <c r="H79" s="105">
        <v>1</v>
      </c>
      <c r="I79" s="9"/>
    </row>
    <row r="80" spans="2:10" ht="17" thickBot="1" x14ac:dyDescent="0.25">
      <c r="B80" s="9"/>
      <c r="C80" s="187" t="s">
        <v>2</v>
      </c>
      <c r="D80" s="188"/>
      <c r="E80" s="188"/>
      <c r="F80" s="189">
        <v>20248.406966716029</v>
      </c>
      <c r="G80" s="190">
        <v>21280680</v>
      </c>
      <c r="H80" s="195">
        <v>76</v>
      </c>
      <c r="I80" s="9"/>
    </row>
    <row r="81" spans="2:9" ht="18" thickTop="1" thickBot="1" x14ac:dyDescent="0.25">
      <c r="B81" s="9"/>
      <c r="C81" s="186"/>
      <c r="D81" s="200" t="s">
        <v>43</v>
      </c>
      <c r="E81" s="9"/>
      <c r="F81" s="196">
        <v>14971.80052296909</v>
      </c>
      <c r="G81" s="197">
        <v>15925797</v>
      </c>
      <c r="H81" s="198">
        <v>54</v>
      </c>
      <c r="I81" s="9"/>
    </row>
    <row r="82" spans="2:9" x14ac:dyDescent="0.2">
      <c r="B82" s="9"/>
      <c r="C82" s="186"/>
      <c r="D82" s="9"/>
      <c r="E82" s="201" t="s">
        <v>7</v>
      </c>
      <c r="F82" s="142">
        <v>0.31372837256640101</v>
      </c>
      <c r="G82" s="102">
        <v>494</v>
      </c>
      <c r="H82" s="105">
        <v>1</v>
      </c>
      <c r="I82" s="9"/>
    </row>
    <row r="83" spans="2:9" x14ac:dyDescent="0.2">
      <c r="B83" s="9"/>
      <c r="C83" s="186"/>
      <c r="D83" s="9"/>
      <c r="E83" s="201" t="s">
        <v>11</v>
      </c>
      <c r="F83" s="142">
        <v>2769.084041033866</v>
      </c>
      <c r="G83" s="102">
        <v>3902329</v>
      </c>
      <c r="H83" s="105">
        <v>2</v>
      </c>
      <c r="I83" s="9"/>
    </row>
    <row r="84" spans="2:9" x14ac:dyDescent="0.2">
      <c r="B84" s="9"/>
      <c r="C84" s="186"/>
      <c r="D84" s="9"/>
      <c r="E84" s="201" t="s">
        <v>13</v>
      </c>
      <c r="F84" s="142">
        <v>0.57337243296205898</v>
      </c>
      <c r="G84" s="102">
        <v>752</v>
      </c>
      <c r="H84" s="105">
        <v>2</v>
      </c>
      <c r="I84" s="9"/>
    </row>
    <row r="85" spans="2:9" x14ac:dyDescent="0.2">
      <c r="B85" s="9"/>
      <c r="C85" s="186"/>
      <c r="D85" s="9"/>
      <c r="E85" s="201" t="s">
        <v>14</v>
      </c>
      <c r="F85" s="142">
        <v>0.82188400533050243</v>
      </c>
      <c r="G85" s="102">
        <v>554</v>
      </c>
      <c r="H85" s="105">
        <v>2</v>
      </c>
      <c r="I85" s="9"/>
    </row>
    <row r="86" spans="2:9" x14ac:dyDescent="0.2">
      <c r="B86" s="9"/>
      <c r="C86" s="186"/>
      <c r="D86" s="9"/>
      <c r="E86" s="201" t="s">
        <v>15</v>
      </c>
      <c r="F86" s="142">
        <v>0.63534776121377901</v>
      </c>
      <c r="G86" s="102">
        <v>510</v>
      </c>
      <c r="H86" s="105">
        <v>1</v>
      </c>
      <c r="I86" s="9"/>
    </row>
    <row r="87" spans="2:9" x14ac:dyDescent="0.2">
      <c r="B87" s="9"/>
      <c r="C87" s="186"/>
      <c r="D87" s="9"/>
      <c r="E87" s="201" t="s">
        <v>16</v>
      </c>
      <c r="F87" s="142">
        <v>0.75894531235098817</v>
      </c>
      <c r="G87" s="102">
        <v>576</v>
      </c>
      <c r="H87" s="105">
        <v>2</v>
      </c>
      <c r="I87" s="9"/>
    </row>
    <row r="88" spans="2:9" x14ac:dyDescent="0.2">
      <c r="B88" s="9"/>
      <c r="C88" s="186"/>
      <c r="D88" s="9"/>
      <c r="E88" s="201" t="s">
        <v>17</v>
      </c>
      <c r="F88" s="142">
        <v>5633.009228659791</v>
      </c>
      <c r="G88" s="102">
        <v>429764</v>
      </c>
      <c r="H88" s="105">
        <v>15</v>
      </c>
      <c r="I88" s="9"/>
    </row>
    <row r="89" spans="2:9" x14ac:dyDescent="0.2">
      <c r="B89" s="9"/>
      <c r="C89" s="186"/>
      <c r="D89" s="9"/>
      <c r="E89" s="201" t="s">
        <v>18</v>
      </c>
      <c r="F89" s="142">
        <v>0.33118768688291267</v>
      </c>
      <c r="G89" s="102">
        <v>4124</v>
      </c>
      <c r="H89" s="105">
        <v>26</v>
      </c>
      <c r="I89" s="9"/>
    </row>
    <row r="90" spans="2:9" x14ac:dyDescent="0.2">
      <c r="B90" s="9"/>
      <c r="C90" s="186"/>
      <c r="D90" s="9"/>
      <c r="E90" s="201" t="s">
        <v>120</v>
      </c>
      <c r="F90" s="142">
        <v>6562.6397754885193</v>
      </c>
      <c r="G90" s="102">
        <v>11585128</v>
      </c>
      <c r="H90" s="105">
        <v>2</v>
      </c>
      <c r="I90" s="9"/>
    </row>
    <row r="91" spans="2:9" ht="17" thickBot="1" x14ac:dyDescent="0.25">
      <c r="B91" s="9"/>
      <c r="C91" s="186"/>
      <c r="D91" s="9"/>
      <c r="E91" s="201" t="s">
        <v>19</v>
      </c>
      <c r="F91" s="142">
        <v>3.6330122156068598</v>
      </c>
      <c r="G91" s="102">
        <v>1566</v>
      </c>
      <c r="H91" s="105">
        <v>1</v>
      </c>
      <c r="I91" s="9"/>
    </row>
    <row r="92" spans="2:9" ht="17" thickBot="1" x14ac:dyDescent="0.25">
      <c r="B92" s="9"/>
      <c r="C92" s="186"/>
      <c r="D92" s="145" t="s">
        <v>45</v>
      </c>
      <c r="E92" s="191"/>
      <c r="F92" s="192">
        <v>5276.6064437469413</v>
      </c>
      <c r="G92" s="193">
        <v>5354883</v>
      </c>
      <c r="H92" s="194">
        <v>22</v>
      </c>
      <c r="I92" s="9"/>
    </row>
    <row r="93" spans="2:9" x14ac:dyDescent="0.2">
      <c r="B93" s="9"/>
      <c r="C93" s="186"/>
      <c r="D93" s="9"/>
      <c r="E93" s="201" t="s">
        <v>7</v>
      </c>
      <c r="F93" s="142">
        <v>1045.8082973947737</v>
      </c>
      <c r="G93" s="102">
        <v>1654051</v>
      </c>
      <c r="H93" s="105">
        <v>2</v>
      </c>
      <c r="I93" s="9"/>
    </row>
    <row r="94" spans="2:9" x14ac:dyDescent="0.2">
      <c r="B94" s="9"/>
      <c r="C94" s="186"/>
      <c r="D94" s="9"/>
      <c r="E94" s="201" t="s">
        <v>11</v>
      </c>
      <c r="F94" s="142">
        <v>4126.3000719705551</v>
      </c>
      <c r="G94" s="102">
        <v>3610053</v>
      </c>
      <c r="H94" s="105">
        <v>2</v>
      </c>
      <c r="I94" s="9"/>
    </row>
    <row r="95" spans="2:9" x14ac:dyDescent="0.2">
      <c r="B95" s="9"/>
      <c r="C95" s="186"/>
      <c r="D95" s="9"/>
      <c r="E95" s="201" t="s">
        <v>13</v>
      </c>
      <c r="F95" s="142">
        <v>0.14418954681605023</v>
      </c>
      <c r="G95" s="102">
        <v>255</v>
      </c>
      <c r="H95" s="105">
        <v>2</v>
      </c>
      <c r="I95" s="9"/>
    </row>
    <row r="96" spans="2:9" x14ac:dyDescent="0.2">
      <c r="B96" s="9"/>
      <c r="C96" s="186"/>
      <c r="D96" s="9"/>
      <c r="E96" s="201" t="s">
        <v>17</v>
      </c>
      <c r="F96" s="142">
        <v>19.331260936334683</v>
      </c>
      <c r="G96" s="102">
        <v>11780</v>
      </c>
      <c r="H96" s="105">
        <v>7</v>
      </c>
      <c r="I96" s="9"/>
    </row>
    <row r="97" spans="2:9" x14ac:dyDescent="0.2">
      <c r="B97" s="9"/>
      <c r="C97" s="186"/>
      <c r="D97" s="9"/>
      <c r="E97" s="201" t="s">
        <v>18</v>
      </c>
      <c r="F97" s="142">
        <v>0.29075849149376076</v>
      </c>
      <c r="G97" s="102">
        <v>1226</v>
      </c>
      <c r="H97" s="105">
        <v>7</v>
      </c>
      <c r="I97" s="9"/>
    </row>
    <row r="98" spans="2:9" ht="17" thickBot="1" x14ac:dyDescent="0.25">
      <c r="B98" s="9"/>
      <c r="C98" s="186"/>
      <c r="D98" s="9"/>
      <c r="E98" s="201" t="s">
        <v>120</v>
      </c>
      <c r="F98" s="142">
        <v>84.7318654069676</v>
      </c>
      <c r="G98" s="102">
        <v>77518</v>
      </c>
      <c r="H98" s="105">
        <v>2</v>
      </c>
      <c r="I98" s="9"/>
    </row>
    <row r="99" spans="2:9" ht="17" thickBot="1" x14ac:dyDescent="0.25">
      <c r="B99" s="9"/>
      <c r="C99" s="187" t="s">
        <v>3</v>
      </c>
      <c r="D99" s="188"/>
      <c r="E99" s="188"/>
      <c r="F99" s="189">
        <v>24073.181516315752</v>
      </c>
      <c r="G99" s="190">
        <v>17718563</v>
      </c>
      <c r="H99" s="195">
        <v>198</v>
      </c>
      <c r="I99" s="9"/>
    </row>
    <row r="100" spans="2:9" ht="18" thickTop="1" thickBot="1" x14ac:dyDescent="0.25">
      <c r="B100" s="9"/>
      <c r="C100" s="205"/>
      <c r="D100" s="206" t="s">
        <v>160</v>
      </c>
      <c r="E100" s="9"/>
      <c r="F100" s="196">
        <v>6.9685796350240601</v>
      </c>
      <c r="G100" s="197">
        <v>4</v>
      </c>
      <c r="H100" s="198">
        <v>2</v>
      </c>
      <c r="I100" s="9"/>
    </row>
    <row r="101" spans="2:9" x14ac:dyDescent="0.2">
      <c r="B101" s="9"/>
      <c r="C101" s="205"/>
      <c r="D101" s="226"/>
      <c r="E101" s="9" t="s">
        <v>9</v>
      </c>
      <c r="F101" s="274">
        <v>3.48428981751203</v>
      </c>
      <c r="G101" s="275">
        <v>2</v>
      </c>
      <c r="H101" s="276">
        <v>1</v>
      </c>
      <c r="I101" s="9"/>
    </row>
    <row r="102" spans="2:9" ht="17" thickBot="1" x14ac:dyDescent="0.25">
      <c r="B102" s="9"/>
      <c r="C102" s="205"/>
      <c r="D102" s="9"/>
      <c r="E102" s="225" t="s">
        <v>17</v>
      </c>
      <c r="F102" s="127">
        <v>3.48428981751203</v>
      </c>
      <c r="G102" s="128">
        <v>2</v>
      </c>
      <c r="H102" s="129">
        <v>1</v>
      </c>
      <c r="I102" s="9"/>
    </row>
    <row r="103" spans="2:9" ht="17" thickBot="1" x14ac:dyDescent="0.25">
      <c r="B103" s="9"/>
      <c r="C103" s="205"/>
      <c r="D103" s="224" t="s">
        <v>158</v>
      </c>
      <c r="E103" s="207"/>
      <c r="F103" s="208">
        <v>0.17733537498861501</v>
      </c>
      <c r="G103" s="209">
        <v>1</v>
      </c>
      <c r="H103" s="210">
        <v>1</v>
      </c>
      <c r="I103" s="9"/>
    </row>
    <row r="104" spans="2:9" ht="17" thickBot="1" x14ac:dyDescent="0.25">
      <c r="B104" s="9"/>
      <c r="C104" s="205"/>
      <c r="D104" s="9"/>
      <c r="E104" s="225" t="s">
        <v>17</v>
      </c>
      <c r="F104" s="127">
        <v>0.17733537498861501</v>
      </c>
      <c r="G104" s="128">
        <v>1</v>
      </c>
      <c r="H104" s="129">
        <v>1</v>
      </c>
      <c r="I104" s="9"/>
    </row>
    <row r="105" spans="2:9" ht="17" thickBot="1" x14ac:dyDescent="0.25">
      <c r="B105" s="9"/>
      <c r="C105" s="186"/>
      <c r="D105" s="145" t="s">
        <v>161</v>
      </c>
      <c r="E105" s="207"/>
      <c r="F105" s="208">
        <v>1.00820045918226E-3</v>
      </c>
      <c r="G105" s="209">
        <v>21</v>
      </c>
      <c r="H105" s="210">
        <v>1</v>
      </c>
      <c r="I105" s="9"/>
    </row>
    <row r="106" spans="2:9" ht="17" thickBot="1" x14ac:dyDescent="0.25">
      <c r="B106" s="9"/>
      <c r="C106" s="186"/>
      <c r="D106" s="9"/>
      <c r="E106" s="201" t="s">
        <v>18</v>
      </c>
      <c r="F106" s="142">
        <v>1.00820045918226E-3</v>
      </c>
      <c r="G106" s="102">
        <v>21</v>
      </c>
      <c r="H106" s="105">
        <v>1</v>
      </c>
      <c r="I106" s="9"/>
    </row>
    <row r="107" spans="2:9" ht="17" thickBot="1" x14ac:dyDescent="0.25">
      <c r="B107" s="9"/>
      <c r="C107" s="186"/>
      <c r="D107" s="145" t="s">
        <v>47</v>
      </c>
      <c r="E107" s="207"/>
      <c r="F107" s="208">
        <v>105.07520869188002</v>
      </c>
      <c r="G107" s="209">
        <v>50244</v>
      </c>
      <c r="H107" s="210">
        <v>27</v>
      </c>
      <c r="I107" s="9"/>
    </row>
    <row r="108" spans="2:9" x14ac:dyDescent="0.2">
      <c r="B108" s="9"/>
      <c r="C108" s="186"/>
      <c r="D108" s="9"/>
      <c r="E108" s="201" t="s">
        <v>11</v>
      </c>
      <c r="F108" s="142">
        <v>1.52587890625E-5</v>
      </c>
      <c r="G108" s="102">
        <v>0</v>
      </c>
      <c r="H108" s="105">
        <v>1</v>
      </c>
      <c r="I108" s="9"/>
    </row>
    <row r="109" spans="2:9" x14ac:dyDescent="0.2">
      <c r="B109" s="9"/>
      <c r="C109" s="186"/>
      <c r="D109" s="9"/>
      <c r="E109" s="201" t="s">
        <v>13</v>
      </c>
      <c r="F109" s="142">
        <v>12.075631813146153</v>
      </c>
      <c r="G109" s="102">
        <v>9053</v>
      </c>
      <c r="H109" s="105">
        <v>3</v>
      </c>
      <c r="I109" s="9"/>
    </row>
    <row r="110" spans="2:9" x14ac:dyDescent="0.2">
      <c r="B110" s="9"/>
      <c r="C110" s="186"/>
      <c r="D110" s="9"/>
      <c r="E110" s="201" t="s">
        <v>16</v>
      </c>
      <c r="F110" s="142">
        <v>0.96171219926327445</v>
      </c>
      <c r="G110" s="102">
        <v>5070</v>
      </c>
      <c r="H110" s="105">
        <v>4</v>
      </c>
      <c r="I110" s="9"/>
    </row>
    <row r="111" spans="2:9" x14ac:dyDescent="0.2">
      <c r="B111" s="9"/>
      <c r="C111" s="186"/>
      <c r="D111" s="9"/>
      <c r="E111" s="201" t="s">
        <v>17</v>
      </c>
      <c r="F111" s="142">
        <v>0.14495217986404832</v>
      </c>
      <c r="G111" s="102">
        <v>942</v>
      </c>
      <c r="H111" s="105">
        <v>4</v>
      </c>
      <c r="I111" s="9"/>
    </row>
    <row r="112" spans="2:9" x14ac:dyDescent="0.2">
      <c r="B112" s="9"/>
      <c r="C112" s="186"/>
      <c r="D112" s="9"/>
      <c r="E112" s="201" t="s">
        <v>18</v>
      </c>
      <c r="F112" s="142">
        <v>88.490883167833019</v>
      </c>
      <c r="G112" s="102">
        <v>26973</v>
      </c>
      <c r="H112" s="105">
        <v>13</v>
      </c>
      <c r="I112" s="9"/>
    </row>
    <row r="113" spans="2:9" ht="17" thickBot="1" x14ac:dyDescent="0.25">
      <c r="B113" s="9"/>
      <c r="C113" s="186"/>
      <c r="D113" s="9"/>
      <c r="E113" s="201" t="s">
        <v>120</v>
      </c>
      <c r="F113" s="142">
        <v>3.4020140729844499</v>
      </c>
      <c r="G113" s="102">
        <v>8206</v>
      </c>
      <c r="H113" s="105">
        <v>2</v>
      </c>
      <c r="I113" s="9"/>
    </row>
    <row r="114" spans="2:9" ht="17" thickBot="1" x14ac:dyDescent="0.25">
      <c r="B114" s="9"/>
      <c r="C114" s="186"/>
      <c r="D114" s="145" t="s">
        <v>49</v>
      </c>
      <c r="E114" s="191"/>
      <c r="F114" s="192">
        <v>18168.801940070429</v>
      </c>
      <c r="G114" s="193">
        <v>5680842</v>
      </c>
      <c r="H114" s="194">
        <v>83</v>
      </c>
      <c r="I114" s="9"/>
    </row>
    <row r="115" spans="2:9" x14ac:dyDescent="0.2">
      <c r="B115" s="9"/>
      <c r="C115" s="186"/>
      <c r="D115" s="9"/>
      <c r="E115" s="201" t="s">
        <v>8</v>
      </c>
      <c r="F115" s="142">
        <v>7.8529771417379303E-4</v>
      </c>
      <c r="G115" s="102">
        <v>1</v>
      </c>
      <c r="H115" s="105">
        <v>1</v>
      </c>
      <c r="I115" s="9"/>
    </row>
    <row r="116" spans="2:9" x14ac:dyDescent="0.2">
      <c r="B116" s="9"/>
      <c r="C116" s="186"/>
      <c r="D116" s="9"/>
      <c r="E116" s="201" t="s">
        <v>11</v>
      </c>
      <c r="F116" s="142">
        <v>2741.5330361239598</v>
      </c>
      <c r="G116" s="102">
        <v>865527</v>
      </c>
      <c r="H116" s="105">
        <v>1</v>
      </c>
      <c r="I116" s="9"/>
    </row>
    <row r="117" spans="2:9" x14ac:dyDescent="0.2">
      <c r="B117" s="9"/>
      <c r="C117" s="186"/>
      <c r="D117" s="9"/>
      <c r="E117" s="201" t="s">
        <v>12</v>
      </c>
      <c r="F117" s="142">
        <v>7.8330095857381799E-4</v>
      </c>
      <c r="G117" s="102">
        <v>1</v>
      </c>
      <c r="H117" s="105">
        <v>1</v>
      </c>
      <c r="I117" s="9"/>
    </row>
    <row r="118" spans="2:9" x14ac:dyDescent="0.2">
      <c r="B118" s="9"/>
      <c r="C118" s="186"/>
      <c r="D118" s="9"/>
      <c r="E118" s="201" t="s">
        <v>13</v>
      </c>
      <c r="F118" s="142">
        <v>4.9239243268966595</v>
      </c>
      <c r="G118" s="102">
        <v>12540</v>
      </c>
      <c r="H118" s="105">
        <v>5</v>
      </c>
      <c r="I118" s="9"/>
    </row>
    <row r="119" spans="2:9" x14ac:dyDescent="0.2">
      <c r="B119" s="9"/>
      <c r="C119" s="186"/>
      <c r="D119" s="9"/>
      <c r="E119" s="201" t="s">
        <v>14</v>
      </c>
      <c r="F119" s="142">
        <v>0.65157662425190099</v>
      </c>
      <c r="G119" s="102">
        <v>29</v>
      </c>
      <c r="H119" s="105">
        <v>2</v>
      </c>
      <c r="I119" s="9"/>
    </row>
    <row r="120" spans="2:9" x14ac:dyDescent="0.2">
      <c r="B120" s="9"/>
      <c r="C120" s="186"/>
      <c r="D120" s="9"/>
      <c r="E120" s="201" t="s">
        <v>16</v>
      </c>
      <c r="F120" s="142">
        <v>19.076551604084568</v>
      </c>
      <c r="G120" s="102">
        <v>4582</v>
      </c>
      <c r="H120" s="105">
        <v>15</v>
      </c>
      <c r="I120" s="9"/>
    </row>
    <row r="121" spans="2:9" x14ac:dyDescent="0.2">
      <c r="B121" s="9"/>
      <c r="C121" s="186"/>
      <c r="D121" s="9"/>
      <c r="E121" s="201" t="s">
        <v>17</v>
      </c>
      <c r="F121" s="142">
        <v>1.1293627675622693</v>
      </c>
      <c r="G121" s="102">
        <v>4611</v>
      </c>
      <c r="H121" s="105">
        <v>10</v>
      </c>
      <c r="I121" s="9"/>
    </row>
    <row r="122" spans="2:9" x14ac:dyDescent="0.2">
      <c r="B122" s="9"/>
      <c r="C122" s="186"/>
      <c r="D122" s="9"/>
      <c r="E122" s="201" t="s">
        <v>18</v>
      </c>
      <c r="F122" s="142">
        <v>245.79151008557503</v>
      </c>
      <c r="G122" s="102">
        <v>77357</v>
      </c>
      <c r="H122" s="105">
        <v>39</v>
      </c>
      <c r="I122" s="9"/>
    </row>
    <row r="123" spans="2:9" ht="17" thickBot="1" x14ac:dyDescent="0.25">
      <c r="B123" s="9"/>
      <c r="C123" s="186"/>
      <c r="D123" s="9"/>
      <c r="E123" s="201" t="s">
        <v>120</v>
      </c>
      <c r="F123" s="142">
        <v>15155.694409939424</v>
      </c>
      <c r="G123" s="102">
        <v>4716194</v>
      </c>
      <c r="H123" s="105">
        <v>9</v>
      </c>
      <c r="I123" s="9"/>
    </row>
    <row r="124" spans="2:9" ht="17" thickBot="1" x14ac:dyDescent="0.25">
      <c r="B124" s="9"/>
      <c r="C124" s="186"/>
      <c r="D124" s="145" t="s">
        <v>130</v>
      </c>
      <c r="E124" s="191"/>
      <c r="F124" s="192">
        <v>5792.1584525434282</v>
      </c>
      <c r="G124" s="193">
        <v>11987472</v>
      </c>
      <c r="H124" s="194">
        <v>85</v>
      </c>
      <c r="I124" s="9"/>
    </row>
    <row r="125" spans="2:9" x14ac:dyDescent="0.2">
      <c r="B125" s="9"/>
      <c r="C125" s="186"/>
      <c r="D125" s="9"/>
      <c r="E125" s="201" t="s">
        <v>13</v>
      </c>
      <c r="F125" s="142">
        <v>52.155572571791701</v>
      </c>
      <c r="G125" s="102">
        <v>70137</v>
      </c>
      <c r="H125" s="105">
        <v>5</v>
      </c>
      <c r="I125" s="9"/>
    </row>
    <row r="126" spans="2:9" x14ac:dyDescent="0.2">
      <c r="B126" s="9"/>
      <c r="C126" s="186"/>
      <c r="D126" s="9"/>
      <c r="E126" s="201" t="s">
        <v>14</v>
      </c>
      <c r="F126" s="142">
        <v>0.28054805658757598</v>
      </c>
      <c r="G126" s="102">
        <v>49</v>
      </c>
      <c r="H126" s="105">
        <v>1</v>
      </c>
      <c r="I126" s="9"/>
    </row>
    <row r="127" spans="2:9" x14ac:dyDescent="0.2">
      <c r="B127" s="9"/>
      <c r="C127" s="186"/>
      <c r="D127" s="9"/>
      <c r="E127" s="201" t="s">
        <v>15</v>
      </c>
      <c r="F127" s="142">
        <v>2.0745769143104499E-4</v>
      </c>
      <c r="G127" s="102">
        <v>1</v>
      </c>
      <c r="H127" s="105">
        <v>1</v>
      </c>
      <c r="I127" s="9"/>
    </row>
    <row r="128" spans="2:9" x14ac:dyDescent="0.2">
      <c r="B128" s="9"/>
      <c r="C128" s="186"/>
      <c r="D128" s="9"/>
      <c r="E128" s="201" t="s">
        <v>16</v>
      </c>
      <c r="F128" s="142">
        <v>0.1737473690882323</v>
      </c>
      <c r="G128" s="102">
        <v>744</v>
      </c>
      <c r="H128" s="105">
        <v>6</v>
      </c>
      <c r="I128" s="9"/>
    </row>
    <row r="129" spans="2:9" x14ac:dyDescent="0.2">
      <c r="B129" s="9"/>
      <c r="C129" s="186"/>
      <c r="D129" s="9"/>
      <c r="E129" s="201" t="s">
        <v>17</v>
      </c>
      <c r="F129" s="142">
        <v>26.954873323440463</v>
      </c>
      <c r="G129" s="102">
        <v>19714</v>
      </c>
      <c r="H129" s="105">
        <v>12</v>
      </c>
      <c r="I129" s="9"/>
    </row>
    <row r="130" spans="2:9" x14ac:dyDescent="0.2">
      <c r="B130" s="9"/>
      <c r="C130" s="186"/>
      <c r="D130" s="9"/>
      <c r="E130" s="201" t="s">
        <v>18</v>
      </c>
      <c r="F130" s="142">
        <v>92.453176230192128</v>
      </c>
      <c r="G130" s="102">
        <v>464735</v>
      </c>
      <c r="H130" s="105">
        <v>48</v>
      </c>
      <c r="I130" s="9"/>
    </row>
    <row r="131" spans="2:9" x14ac:dyDescent="0.2">
      <c r="B131" s="9"/>
      <c r="C131" s="186"/>
      <c r="D131" s="9"/>
      <c r="E131" s="201" t="s">
        <v>120</v>
      </c>
      <c r="F131" s="142">
        <v>5620.1390557922405</v>
      </c>
      <c r="G131" s="102">
        <v>11432089</v>
      </c>
      <c r="H131" s="105">
        <v>10</v>
      </c>
      <c r="I131" s="9"/>
    </row>
    <row r="132" spans="2:9" x14ac:dyDescent="0.2">
      <c r="B132" s="9"/>
      <c r="C132" s="186"/>
      <c r="D132" s="9"/>
      <c r="E132" s="201" t="s">
        <v>19</v>
      </c>
      <c r="F132" s="142">
        <v>6.27015717327594E-4</v>
      </c>
      <c r="G132" s="102">
        <v>1</v>
      </c>
      <c r="H132" s="105">
        <v>1</v>
      </c>
      <c r="I132" s="9"/>
    </row>
    <row r="133" spans="2:9" ht="17" thickBot="1" x14ac:dyDescent="0.25">
      <c r="B133" s="9"/>
      <c r="C133" s="186"/>
      <c r="D133" s="9"/>
      <c r="E133" s="201" t="s">
        <v>20</v>
      </c>
      <c r="F133" s="142">
        <v>6.4472667872905699E-4</v>
      </c>
      <c r="G133" s="102">
        <v>2</v>
      </c>
      <c r="H133" s="105">
        <v>1</v>
      </c>
      <c r="I133" s="9"/>
    </row>
    <row r="134" spans="2:9" ht="17" thickBot="1" x14ac:dyDescent="0.25">
      <c r="B134" s="9"/>
      <c r="C134" s="199"/>
      <c r="D134" s="145" t="s">
        <v>4</v>
      </c>
      <c r="E134" s="67"/>
      <c r="F134" s="96">
        <v>2144513.5877302331</v>
      </c>
      <c r="G134" s="94">
        <v>451172570</v>
      </c>
      <c r="H134" s="95">
        <v>1537</v>
      </c>
      <c r="I134" s="9"/>
    </row>
    <row r="135" spans="2:9" x14ac:dyDescent="0.2">
      <c r="B135" s="9"/>
      <c r="C135" s="6"/>
      <c r="D135" s="9"/>
      <c r="E135" s="9"/>
      <c r="F135" s="9"/>
      <c r="G135" s="9"/>
      <c r="H135" s="9"/>
      <c r="I135"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Weir, Heather (GSFC-610.1)[ADNET SYSTEMS INC]</cp:lastModifiedBy>
  <dcterms:created xsi:type="dcterms:W3CDTF">2024-09-09T15:09:53Z</dcterms:created>
  <dcterms:modified xsi:type="dcterms:W3CDTF">2026-03-12T13:40:28Z</dcterms:modified>
</cp:coreProperties>
</file>