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hweir/Desktop/ESDIS/Reports/Requested Reports/2026/OPERA/03-2026/"/>
    </mc:Choice>
  </mc:AlternateContent>
  <xr:revisionPtr revIDLastSave="0" documentId="13_ncr:1_{18EDCD59-8E5C-0A4F-B341-160277AC5004}" xr6:coauthVersionLast="47" xr6:coauthVersionMax="47" xr10:uidLastSave="{00000000-0000-0000-0000-000000000000}"/>
  <bookViews>
    <workbookView xWindow="14600" yWindow="500" windowWidth="23720" windowHeight="16760" activeTab="1"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30" r:id="rId6"/>
    <sheet name="PSA-Product" sheetId="28" r:id="rId7"/>
  </sheets>
  <definedNames>
    <definedName name="_xlnm._FilterDatabase" localSheetId="1" hidden="1">'Summary-Total'!$B$26:$E$29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9" l="1"/>
  <c r="F23" i="19"/>
  <c r="E23" i="19"/>
  <c r="N109" i="1"/>
  <c r="M109" i="1"/>
  <c r="O109" i="1" s="1"/>
  <c r="E25" i="1"/>
  <c r="D25" i="1"/>
  <c r="C25" i="1"/>
  <c r="J23" i="1"/>
  <c r="I23" i="1"/>
  <c r="H23" i="1"/>
  <c r="E10" i="1"/>
  <c r="D10" i="1"/>
  <c r="C10" i="1"/>
  <c r="K47" i="27"/>
  <c r="J47" i="27"/>
  <c r="I47" i="27"/>
  <c r="F9" i="27"/>
  <c r="E9" i="27"/>
  <c r="D9" i="27"/>
</calcChain>
</file>

<file path=xl/sharedStrings.xml><?xml version="1.0" encoding="utf-8"?>
<sst xmlns="http://schemas.openxmlformats.org/spreadsheetml/2006/main" count="790" uniqueCount="202">
  <si>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</si>
  <si>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</si>
  <si>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</si>
  <si>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</si>
  <si>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</si>
  <si>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</si>
  <si>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</si>
  <si>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</si>
  <si>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</si>
  <si>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</si>
  <si>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</si>
  <si>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</si>
  <si>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</si>
  <si>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</si>
  <si>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</si>
  <si>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</si>
  <si>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</si>
  <si>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</si>
  <si>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</si>
  <si>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</si>
  <si>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</si>
  <si>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</si>
  <si>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</si>
  <si>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</si>
  <si>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</si>
  <si>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</si>
  <si>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</si>
  <si>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</si>
  <si>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</si>
  <si>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</si>
  <si>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</si>
  <si>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</si>
  <si>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</si>
  <si>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</si>
  <si>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</si>
  <si>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</si>
  <si>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</si>
  <si>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</si>
  <si>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</si>
  <si>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</si>
  <si>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</si>
  <si>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</si>
  <si>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</si>
  <si>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</si>
  <si>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</si>
  <si>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</si>
  <si>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</si>
  <si>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</si>
  <si>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</si>
  <si>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</si>
  <si>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</si>
  <si>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</si>
  <si>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</si>
  <si>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</si>
  <si>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</si>
  <si>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</si>
  <si>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</si>
  <si>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</si>
  <si>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</si>
  <si>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</si>
  <si>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</si>
  <si>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</si>
  <si>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</si>
  <si>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</si>
  <si>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</si>
  <si>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</si>
  <si>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Bolivia</t>
  </si>
  <si>
    <t>Brazil</t>
  </si>
  <si>
    <t>Canada</t>
  </si>
  <si>
    <t>Chile</t>
  </si>
  <si>
    <t>China</t>
  </si>
  <si>
    <t>Colombia</t>
  </si>
  <si>
    <t>Ecuador</t>
  </si>
  <si>
    <t>Egypt</t>
  </si>
  <si>
    <t>Ethiopia</t>
  </si>
  <si>
    <t>France</t>
  </si>
  <si>
    <t>Germany</t>
  </si>
  <si>
    <t>Greece</t>
  </si>
  <si>
    <t>India</t>
  </si>
  <si>
    <t>Indonesia</t>
  </si>
  <si>
    <t>Iraq</t>
  </si>
  <si>
    <t>Italy</t>
  </si>
  <si>
    <t>Japan</t>
  </si>
  <si>
    <t>Malaysia</t>
  </si>
  <si>
    <t>Mexico</t>
  </si>
  <si>
    <t>Morocco</t>
  </si>
  <si>
    <t>Netherlands</t>
  </si>
  <si>
    <t>New Zealand</t>
  </si>
  <si>
    <t>Norway</t>
  </si>
  <si>
    <t>Pakistan</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</si>
  <si>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</si>
  <si>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</si>
  <si>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</si>
  <si>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</si>
  <si>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</si>
  <si>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</si>
  <si>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</si>
  <si>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</si>
  <si>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</si>
  <si>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</si>
  <si>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</si>
  <si>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</si>
  <si>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</si>
  <si>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</si>
  <si>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</si>
  <si>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</si>
  <si>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Belgium</t>
  </si>
  <si>
    <t>Bulgaria</t>
  </si>
  <si>
    <t>Jordan</t>
  </si>
  <si>
    <t>Kazakhstan</t>
  </si>
  <si>
    <t>Mongolia</t>
  </si>
  <si>
    <t>Nigeria</t>
  </si>
  <si>
    <t>Portugal</t>
  </si>
  <si>
    <t>Sri Lanka</t>
  </si>
  <si>
    <t>Syria</t>
  </si>
  <si>
    <t>Thailand</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</si>
  <si>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</si>
  <si>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</si>
  <si>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</si>
  <si>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</si>
  <si>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</si>
  <si>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</si>
  <si>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</si>
  <si>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</si>
  <si>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</si>
  <si>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</si>
  <si>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</si>
  <si>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OPERA_L3_DSWX-S1_V1</t>
  </si>
  <si>
    <t>OPERA Dynamic Surface Water Extent from Sentinel-1 (Version 1)</t>
  </si>
  <si>
    <t>PROVIDER</t>
  </si>
  <si>
    <t>Vol GB</t>
  </si>
  <si>
    <t>#Files</t>
  </si>
  <si>
    <t>#Users</t>
  </si>
  <si>
    <t>Date</t>
  </si>
  <si>
    <t>Total:</t>
  </si>
  <si>
    <t>Total</t>
  </si>
  <si>
    <t>OPERA_L3_DISP-S1_V1</t>
  </si>
  <si>
    <t>OPERA Surface Displacement from Sentinel-1 validated product (Version 1)</t>
  </si>
  <si>
    <t>OPERA Products</t>
  </si>
  <si>
    <t>OPERA_L4_TROPO-ZENITH_V1</t>
  </si>
  <si>
    <t>OPERA Tropospheric Correction at Zenith validated product (Version 1)</t>
  </si>
  <si>
    <t># of Files</t>
  </si>
  <si>
    <t># of Users</t>
  </si>
  <si>
    <t>Data Distribution of OPERA Products By EOSDIS DAACs based on User Country</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</si>
  <si>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</si>
  <si>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</si>
  <si>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</si>
  <si>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</si>
  <si>
    <t xml:space="preserve">9. Since November 2023, there has been significant gaps in EMS data that has been backfilled by LPDAAC. </t>
  </si>
  <si>
    <t>Cameroon</t>
  </si>
  <si>
    <t>Nepal</t>
  </si>
  <si>
    <t>Nicaragua</t>
  </si>
  <si>
    <t>OPERA_DSWX-S1_CALVAL_V1</t>
  </si>
  <si>
    <t>OPERA Dynamic Surface Water Extent from Sentinel-1 CalVal Database (Version 1)</t>
  </si>
  <si>
    <t>OPERA_DSWX-HLS_CALVAL_PROVISIONAL_V1</t>
  </si>
  <si>
    <t>OPERA Dynamic Surface Water Extent from Harmonized Landsat Sentinel-2 CalVal Database (Version 1)</t>
  </si>
  <si>
    <t>Sweden</t>
  </si>
  <si>
    <t>Azerbaijan</t>
  </si>
  <si>
    <t>Cambodia</t>
  </si>
  <si>
    <t>Finland</t>
  </si>
  <si>
    <t>Paraguay</t>
  </si>
  <si>
    <t>Burma</t>
  </si>
  <si>
    <t>Mozambique</t>
  </si>
  <si>
    <t>Slovakia</t>
  </si>
  <si>
    <t>OPERA_L3_DISP-S1-STATIC_V1</t>
  </si>
  <si>
    <t>X</t>
  </si>
  <si>
    <t>OPERA Surface Displacement from Sentinel-1 Static Layers validated product (Version 1)</t>
  </si>
  <si>
    <t>Cote d'Ivoire</t>
  </si>
  <si>
    <t>Honduras</t>
  </si>
  <si>
    <t>Ireland</t>
  </si>
  <si>
    <t>Latvia</t>
  </si>
  <si>
    <t>Luxembourg</t>
  </si>
  <si>
    <t>Oman</t>
  </si>
  <si>
    <t>Panama</t>
  </si>
  <si>
    <t>Slovenia</t>
  </si>
  <si>
    <t>Tajikistan</t>
  </si>
  <si>
    <t xml:space="preserve">Total Distribution of OPERA Data Products by Provider
 (Nov 2022 - 31 March 2026)								</t>
  </si>
  <si>
    <t xml:space="preserve">Total Distribution of OPERA Data Products by Month
 (Nov 2022 - 31 March 2026)										</t>
  </si>
  <si>
    <t>For March 2026</t>
  </si>
  <si>
    <t>Data Volume (GB)</t>
  </si>
  <si>
    <t>Bahrain</t>
  </si>
  <si>
    <t>Barbados</t>
  </si>
  <si>
    <t>Botswana</t>
  </si>
  <si>
    <t>Costa Rica</t>
  </si>
  <si>
    <t>Croatia</t>
  </si>
  <si>
    <t>Cyprus</t>
  </si>
  <si>
    <t>Democratic Republic of Congo</t>
  </si>
  <si>
    <t>Estonia</t>
  </si>
  <si>
    <t>Iceland</t>
  </si>
  <si>
    <t>Israel</t>
  </si>
  <si>
    <t>Kenya</t>
  </si>
  <si>
    <t>Kosovo</t>
  </si>
  <si>
    <t>Laos</t>
  </si>
  <si>
    <t>Lithuania</t>
  </si>
  <si>
    <t>Madagascar</t>
  </si>
  <si>
    <t>Mali</t>
  </si>
  <si>
    <t>Mauritania</t>
  </si>
  <si>
    <t>Monaco</t>
  </si>
  <si>
    <t>Namibia</t>
  </si>
  <si>
    <t>South Sudan</t>
  </si>
  <si>
    <t>OPERA_L3_DISP-S1_STACK_V1</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</si>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</sst>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6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284">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164" fontId="0" fillId="0" borderId="50" xfId="1" applyNumberFormat="1" applyFont="1" applyBorder="1"/>
    <xf numFmtId="164" fontId="0" fillId="0" borderId="57"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4" fillId="0" borderId="25" xfId="1" applyNumberFormat="1" applyFont="1" applyBorder="1"/>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59" xfId="0" applyFont="1" applyBorder="1" applyAlignment="1">
      <alignment horizontal="left" vertical="center"/>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8"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6"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1" xfId="0" applyNumberFormat="1" applyBorder="1" applyAlignment="1">
      <alignment vertical="center"/>
    </xf>
    <xf numFmtId="43" fontId="2" fillId="0" borderId="23" xfId="1" applyFont="1" applyFill="1" applyBorder="1" applyAlignment="1">
      <alignment vertical="center"/>
    </xf>
    <xf numFmtId="43" fontId="2" fillId="0" borderId="55"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2" fillId="0" borderId="52" xfId="0" applyFont="1" applyBorder="1" applyAlignment="1">
      <alignment horizontal="center" vertical="center"/>
    </xf>
    <xf numFmtId="0" fontId="0" fillId="0" borderId="53" xfId="0" applyBorder="1" applyAlignment="1">
      <alignment vertical="center"/>
    </xf>
    <xf numFmtId="43" fontId="2" fillId="0" borderId="53" xfId="0" applyNumberFormat="1" applyFont="1" applyBorder="1" applyAlignment="1">
      <alignment vertical="center"/>
    </xf>
    <xf numFmtId="164" fontId="2" fillId="0" borderId="53"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4"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0"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164" fontId="0" fillId="0" borderId="6" xfId="0" applyNumberFormat="1" applyBorder="1" applyAlignment="1">
      <alignment vertical="center"/>
    </xf>
    <xf numFmtId="164" fontId="0" fillId="0" borderId="50" xfId="0" applyNumberFormat="1" applyBorder="1" applyAlignment="1">
      <alignment vertical="center"/>
    </xf>
    <xf numFmtId="0" fontId="2" fillId="0" borderId="27" xfId="0" applyFont="1" applyBorder="1" applyAlignment="1">
      <alignment horizontal="center" vertical="center"/>
    </xf>
    <xf numFmtId="0" fontId="2" fillId="0" borderId="60" xfId="0" applyFont="1" applyBorder="1" applyAlignment="1">
      <alignment horizontal="left" indent="1"/>
    </xf>
    <xf numFmtId="0" fontId="0" fillId="0" borderId="41" xfId="0" applyBorder="1" applyAlignment="1">
      <alignment vertical="center"/>
    </xf>
    <xf numFmtId="43" fontId="2" fillId="0" borderId="41" xfId="0" applyNumberFormat="1" applyFont="1" applyBorder="1" applyAlignment="1">
      <alignment vertical="center"/>
    </xf>
    <xf numFmtId="164" fontId="2" fillId="0" borderId="41" xfId="0" applyNumberFormat="1" applyFont="1" applyBorder="1" applyAlignment="1">
      <alignment vertical="center"/>
    </xf>
    <xf numFmtId="164" fontId="2" fillId="0" borderId="48" xfId="0" applyNumberFormat="1" applyFont="1" applyBorder="1" applyAlignment="1">
      <alignment vertical="center"/>
    </xf>
    <xf numFmtId="0" fontId="2" fillId="0" borderId="12" xfId="0" applyFont="1" applyBorder="1"/>
    <xf numFmtId="43" fontId="9" fillId="0" borderId="28" xfId="1" applyFont="1" applyBorder="1" applyAlignment="1">
      <alignment vertical="center"/>
    </xf>
    <xf numFmtId="164" fontId="9" fillId="0" borderId="29" xfId="1" applyNumberFormat="1" applyFont="1" applyBorder="1" applyAlignment="1">
      <alignment vertical="center"/>
    </xf>
    <xf numFmtId="43" fontId="9" fillId="0" borderId="61" xfId="1" applyFont="1" applyBorder="1"/>
    <xf numFmtId="164" fontId="9" fillId="0" borderId="62" xfId="1" applyNumberFormat="1" applyFont="1" applyBorder="1"/>
    <xf numFmtId="0" fontId="9" fillId="0" borderId="0" xfId="0" applyFont="1" applyAlignment="1">
      <alignment vertical="center"/>
    </xf>
    <xf numFmtId="43" fontId="4" fillId="0" borderId="28" xfId="1" applyFont="1" applyBorder="1"/>
    <xf numFmtId="164" fontId="4" fillId="0" borderId="29" xfId="1" applyNumberFormat="1" applyFont="1" applyBorder="1"/>
    <xf numFmtId="164" fontId="0" fillId="0" borderId="0" xfId="1" applyNumberFormat="1" applyFont="1" applyAlignment="1">
      <alignment horizontal="center" vertical="center"/>
    </xf>
    <xf numFmtId="164" fontId="0" fillId="0" borderId="0" xfId="1" applyNumberFormat="1" applyFont="1"/>
    <xf numFmtId="0" fontId="0" fillId="0" borderId="27" xfId="0" applyBorder="1"/>
    <xf numFmtId="0" fontId="0" fillId="0" borderId="23" xfId="0" applyBorder="1"/>
    <xf numFmtId="0" fontId="0" fillId="0" borderId="53" xfId="0" applyBorder="1"/>
    <xf numFmtId="0" fontId="2" fillId="0" borderId="18" xfId="0" applyFont="1" applyBorder="1" applyAlignment="1">
      <alignment horizontal="left" indent="1"/>
    </xf>
    <xf numFmtId="43" fontId="0" fillId="0" borderId="6" xfId="1" applyFont="1" applyBorder="1" applyAlignment="1"/>
    <xf numFmtId="0" fontId="2" fillId="0" borderId="0" xfId="0" applyFont="1" applyAlignment="1">
      <alignment horizontal="left" indent="1"/>
    </xf>
    <xf numFmtId="164" fontId="0" fillId="0" borderId="44" xfId="0" applyNumberFormat="1" applyBorder="1"/>
    <xf numFmtId="43" fontId="0" fillId="0" borderId="0" xfId="1" applyFont="1" applyAlignment="1">
      <alignment horizontal="center" vertical="center"/>
    </xf>
    <xf numFmtId="43" fontId="4" fillId="0" borderId="7" xfId="1" applyFont="1" applyBorder="1" applyAlignment="1">
      <alignment horizontal="center" vertical="center"/>
    </xf>
    <xf numFmtId="43" fontId="0" fillId="0" borderId="0" xfId="1" applyFont="1"/>
    <xf numFmtId="0" fontId="2" fillId="0" borderId="18" xfId="0" applyFont="1" applyBorder="1" applyAlignment="1">
      <alignment horizontal="left"/>
    </xf>
    <xf numFmtId="43" fontId="2" fillId="0" borderId="20" xfId="0" applyNumberFormat="1" applyFont="1" applyBorder="1"/>
    <xf numFmtId="164" fontId="2" fillId="0" borderId="20" xfId="0" applyNumberFormat="1" applyFont="1" applyBorder="1"/>
    <xf numFmtId="164" fontId="2" fillId="0" borderId="21" xfId="0" applyNumberFormat="1" applyFont="1" applyBorder="1"/>
    <xf numFmtId="0" fontId="0" fillId="0" borderId="15" xfId="0" applyBorder="1"/>
    <xf numFmtId="43" fontId="2" fillId="0" borderId="15" xfId="0" applyNumberFormat="1" applyFont="1" applyBorder="1"/>
    <xf numFmtId="164" fontId="2" fillId="0" borderId="15" xfId="0" applyNumberFormat="1" applyFont="1" applyBorder="1"/>
    <xf numFmtId="43" fontId="2" fillId="0" borderId="0" xfId="0" applyNumberFormat="1" applyFont="1"/>
    <xf numFmtId="164" fontId="2" fillId="0" borderId="0" xfId="0" applyNumberFormat="1" applyFont="1"/>
    <xf numFmtId="164" fontId="2" fillId="0" borderId="44" xfId="0" applyNumberFormat="1" applyFont="1" applyBorder="1"/>
    <xf numFmtId="0" fontId="0" fillId="0" borderId="0" xfId="0" applyAlignment="1">
      <alignment horizontal="left" indent="2"/>
    </xf>
    <xf numFmtId="164" fontId="2" fillId="0" borderId="16" xfId="0" applyNumberFormat="1" applyFont="1" applyBorder="1"/>
    <xf numFmtId="43" fontId="2" fillId="0" borderId="53" xfId="0" applyNumberFormat="1" applyFont="1" applyBorder="1"/>
    <xf numFmtId="164" fontId="2" fillId="0" borderId="53" xfId="0" applyNumberFormat="1" applyFont="1" applyBorder="1"/>
    <xf numFmtId="164" fontId="2" fillId="0" borderId="54" xfId="0" applyNumberFormat="1" applyFont="1" applyBorder="1"/>
    <xf numFmtId="0" fontId="2" fillId="0" borderId="52" xfId="0" applyFont="1" applyBorder="1" applyAlignment="1">
      <alignment horizontal="left"/>
    </xf>
    <xf numFmtId="0" fontId="2" fillId="0" borderId="55" xfId="0" applyFont="1" applyBorder="1" applyAlignment="1">
      <alignment horizontal="left" indent="1"/>
    </xf>
    <xf numFmtId="0" fontId="0" fillId="0" borderId="6" xfId="0" applyBorder="1" applyAlignment="1">
      <alignment horizontal="left" vertical="center"/>
    </xf>
    <xf numFmtId="43" fontId="0" fillId="0" borderId="6" xfId="0" applyNumberFormat="1" applyBorder="1" applyAlignment="1">
      <alignment vertical="center"/>
    </xf>
    <xf numFmtId="43" fontId="2" fillId="0" borderId="41" xfId="0" applyNumberFormat="1" applyFont="1" applyBorder="1"/>
    <xf numFmtId="164" fontId="2" fillId="0" borderId="41" xfId="0" applyNumberFormat="1" applyFont="1" applyBorder="1"/>
    <xf numFmtId="164" fontId="2" fillId="0" borderId="48" xfId="0" applyNumberFormat="1" applyFont="1" applyBorder="1"/>
    <xf numFmtId="0" fontId="2" fillId="0" borderId="63" xfId="0" applyFont="1" applyBorder="1" applyAlignment="1">
      <alignment horizontal="left"/>
    </xf>
    <xf numFmtId="0" fontId="0" fillId="0" borderId="0" xfId="0" applyAlignment="1">
      <alignment horizontal="left" indent="1"/>
    </xf>
    <xf numFmtId="0" fontId="4" fillId="0" borderId="24" xfId="0" applyFont="1" applyBorder="1" applyAlignment="1">
      <alignment horizontal="left" vertical="center"/>
    </xf>
    <xf numFmtId="0" fontId="0" fillId="0" borderId="4" xfId="0" applyBorder="1" applyAlignment="1">
      <alignment vertical="center" wrapText="1"/>
    </xf>
    <xf numFmtId="0" fontId="9" fillId="0" borderId="37" xfId="0" applyFont="1" applyBorder="1"/>
    <xf numFmtId="164" fontId="9" fillId="0" borderId="27" xfId="1" applyNumberFormat="1" applyFont="1" applyBorder="1" applyAlignment="1">
      <alignment vertical="center"/>
    </xf>
    <xf numFmtId="43" fontId="9" fillId="0" borderId="0" xfId="0" applyNumberFormat="1" applyFont="1"/>
    <xf numFmtId="164" fontId="9" fillId="0" borderId="0" xfId="0" applyNumberFormat="1" applyFont="1"/>
    <xf numFmtId="164" fontId="9" fillId="0" borderId="44" xfId="0" applyNumberFormat="1" applyFont="1" applyBorder="1"/>
    <xf numFmtId="0" fontId="9" fillId="0" borderId="0" xfId="0" applyFont="1" applyAlignment="1">
      <alignment horizontal="left" indent="2"/>
    </xf>
    <xf numFmtId="0" fontId="4" fillId="0" borderId="43" xfId="0" applyFont="1" applyBorder="1" applyAlignment="1">
      <alignment horizontal="center" vertical="center"/>
    </xf>
    <xf numFmtId="43" fontId="9" fillId="0" borderId="5" xfId="0" applyNumberFormat="1" applyFont="1" applyBorder="1" applyAlignment="1">
      <alignment vertical="center"/>
    </xf>
    <xf numFmtId="164" fontId="9" fillId="0" borderId="5" xfId="0" applyNumberFormat="1" applyFont="1" applyBorder="1" applyAlignment="1">
      <alignment vertical="center"/>
    </xf>
    <xf numFmtId="164" fontId="9" fillId="0" borderId="29" xfId="0" applyNumberFormat="1" applyFont="1" applyBorder="1" applyAlignment="1">
      <alignment vertical="center"/>
    </xf>
    <xf numFmtId="0" fontId="7" fillId="0" borderId="0" xfId="0" applyFont="1" applyAlignment="1">
      <alignment horizontal="center" vertical="center"/>
    </xf>
    <xf numFmtId="0" fontId="14" fillId="0" borderId="0" xfId="0" applyFont="1" applyAlignment="1">
      <alignment horizontal="center" vertical="center" wrapText="1"/>
    </xf>
    <xf numFmtId="0" fontId="7"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43" fontId="6" fillId="0" borderId="55" xfId="1" applyFont="1" applyFill="1" applyBorder="1" applyAlignment="1">
      <alignment horizontal="center" vertical="center"/>
    </xf>
    <xf numFmtId="43" fontId="6" fillId="0" borderId="18" xfId="1"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xf numFmtId="0" fontId="2" fillId="0" borderId="0" xfId="0" applyFont="1" applyBorder="1" applyAlignment="1">
      <alignment horizontal="left" vertical="center"/>
    </xf>
    <xf numFmtId="0" fontId="0" fillId="0" borderId="42" xfId="0" applyBorder="1" applyAlignment="1">
      <alignment vertical="center"/>
    </xf>
    <xf numFmtId="43" fontId="9" fillId="0" borderId="42" xfId="0" applyNumberFormat="1" applyFont="1" applyBorder="1" applyAlignment="1">
      <alignment vertical="center"/>
    </xf>
    <xf numFmtId="164" fontId="9" fillId="0" borderId="42" xfId="0" applyNumberFormat="1" applyFont="1" applyBorder="1" applyAlignment="1">
      <alignment vertical="center"/>
    </xf>
    <xf numFmtId="164" fontId="9" fillId="0" borderId="45" xfId="0" applyNumberFormat="1" applyFont="1" applyBorder="1" applyAlignment="1">
      <alignment vertical="center"/>
    </xf>
    <xf numFmtId="0" fontId="2" fillId="0" borderId="0" xfId="0" applyFont="1" applyBorder="1" applyAlignment="1">
      <alignment horizontal="left" indent="1"/>
    </xf>
    <xf numFmtId="43" fontId="9" fillId="0" borderId="0" xfId="0" applyNumberFormat="1" applyFont="1" applyBorder="1"/>
    <xf numFmtId="164" fontId="9" fillId="0" borderId="0" xfId="0" applyNumberFormat="1" applyFont="1" applyBorder="1"/>
    <xf numFmtId="0" fontId="0" fillId="0" borderId="0" xfId="0" applyBorder="1" applyAlignment="1">
      <alignment horizontal="left" indent="2"/>
    </xf>
    <xf numFmtId="0" fontId="9" fillId="0" borderId="0"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heetViews>
  <sheetFormatPr baseColWidth="10" defaultRowHeight="16" x14ac:dyDescent="0.2"/>
  <sheetData>
    <row r="2" spans="3:4" x14ac:dyDescent="0.2">
      <c r="C2" t="s">
        <v>118</v>
      </c>
    </row>
    <row r="4" spans="3:4" x14ac:dyDescent="0.2">
      <c r="D4" t="s">
        <v>119</v>
      </c>
    </row>
    <row r="5" spans="3:4" x14ac:dyDescent="0.2">
      <c r="D5" t="s">
        <v>120</v>
      </c>
    </row>
    <row r="6" spans="3:4" x14ac:dyDescent="0.2">
      <c r="D6" t="s">
        <v>121</v>
      </c>
    </row>
    <row r="7" spans="3:4" x14ac:dyDescent="0.2">
      <c r="D7" t="s">
        <v>122</v>
      </c>
    </row>
    <row r="8" spans="3:4" x14ac:dyDescent="0.2">
      <c r="D8" t="s">
        <v>123</v>
      </c>
    </row>
    <row r="9" spans="3:4" x14ac:dyDescent="0.2">
      <c r="D9" t="s">
        <v>124</v>
      </c>
    </row>
    <row r="10" spans="3:4" x14ac:dyDescent="0.2">
      <c r="D10" t="s">
        <v>125</v>
      </c>
    </row>
    <row r="11" spans="3:4" x14ac:dyDescent="0.2">
      <c r="D11" t="s">
        <v>126</v>
      </c>
    </row>
    <row r="12" spans="3:4" x14ac:dyDescent="0.2">
      <c r="D12" t="s">
        <v>148</v>
      </c>
    </row>
    <row r="13" spans="3:4" x14ac:dyDescent="0.2">
      <c r="D13" t="s">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7"/>
  <sheetViews>
    <sheetView tabSelected="1" workbookViewId="0"/>
  </sheetViews>
  <sheetFormatPr baseColWidth="10" defaultRowHeight="16" x14ac:dyDescent="0.2"/>
  <cols>
    <col min="2" max="2" width="8.28515625" customWidth="1"/>
    <col min="3" max="3" width="13.140625" bestFit="1" customWidth="1"/>
    <col min="4" max="4" width="15.140625" customWidth="1"/>
    <col min="5" max="5" width="13.7109375" bestFit="1" customWidth="1"/>
    <col min="6" max="6" width="13.85546875" customWidth="1"/>
    <col min="8" max="8" width="13" customWidth="1"/>
    <col min="9" max="10" width="13.7109375" bestFit="1" customWidth="1"/>
    <col min="11" max="11" width="14.28515625" customWidth="1"/>
  </cols>
  <sheetData>
    <row r="2" spans="3:11" s="9" customFormat="1" x14ac:dyDescent="0.2"/>
    <row r="3" spans="3:11" s="9" customFormat="1" ht="35" customHeight="1" x14ac:dyDescent="0.2">
      <c r="C3" s="266" t="s">
        <v>176</v>
      </c>
      <c r="D3" s="266"/>
      <c r="E3" s="266"/>
      <c r="F3" s="266"/>
      <c r="H3" s="266" t="s">
        <v>177</v>
      </c>
      <c r="I3" s="266"/>
      <c r="J3" s="266"/>
      <c r="K3" s="266"/>
    </row>
    <row r="4" spans="3:11" s="9" customFormat="1" ht="17" thickBot="1" x14ac:dyDescent="0.25"/>
    <row r="5" spans="3:11" s="9" customFormat="1" ht="17" thickBot="1" x14ac:dyDescent="0.25">
      <c r="C5" s="14" t="s">
        <v>129</v>
      </c>
      <c r="D5" s="16" t="s">
        <v>130</v>
      </c>
      <c r="E5" s="33" t="s">
        <v>131</v>
      </c>
      <c r="F5" s="16" t="s">
        <v>132</v>
      </c>
      <c r="H5" s="16" t="s">
        <v>133</v>
      </c>
      <c r="I5" s="16" t="s">
        <v>130</v>
      </c>
      <c r="J5" s="33" t="s">
        <v>131</v>
      </c>
      <c r="K5" s="16" t="s">
        <v>132</v>
      </c>
    </row>
    <row r="6" spans="3:11" s="9" customFormat="1" x14ac:dyDescent="0.2">
      <c r="C6" s="34" t="s">
        <v>1</v>
      </c>
      <c r="D6" s="35">
        <v>11097308.616738999</v>
      </c>
      <c r="E6" s="32">
        <v>1081570404</v>
      </c>
      <c r="F6" s="36">
        <v>16161</v>
      </c>
      <c r="H6" s="40">
        <v>44866</v>
      </c>
      <c r="I6" s="35">
        <v>23.477077996358201</v>
      </c>
      <c r="J6" s="36">
        <v>7431</v>
      </c>
      <c r="K6" s="36">
        <v>11</v>
      </c>
    </row>
    <row r="7" spans="3:11" s="9" customFormat="1" x14ac:dyDescent="0.2">
      <c r="C7" s="34" t="s">
        <v>2</v>
      </c>
      <c r="D7" s="35">
        <v>53441.445147841201</v>
      </c>
      <c r="E7" s="32">
        <v>59728457</v>
      </c>
      <c r="F7" s="36">
        <v>2039</v>
      </c>
      <c r="H7" s="40">
        <v>44896</v>
      </c>
      <c r="I7" s="35">
        <v>0.64779590070247595</v>
      </c>
      <c r="J7" s="36">
        <v>2359</v>
      </c>
      <c r="K7" s="36">
        <v>41</v>
      </c>
    </row>
    <row r="8" spans="3:11" s="9" customFormat="1" ht="17" thickBot="1" x14ac:dyDescent="0.25">
      <c r="C8" s="34" t="s">
        <v>3</v>
      </c>
      <c r="D8" s="35">
        <v>427042.55497307598</v>
      </c>
      <c r="E8" s="32">
        <v>201125623</v>
      </c>
      <c r="F8" s="36">
        <v>3436</v>
      </c>
      <c r="H8" s="40">
        <v>44927</v>
      </c>
      <c r="I8" s="35">
        <v>6.4800424398854304</v>
      </c>
      <c r="J8" s="36">
        <v>5163</v>
      </c>
      <c r="K8" s="36">
        <v>45</v>
      </c>
    </row>
    <row r="9" spans="3:11" s="9" customFormat="1" ht="17" thickBot="1" x14ac:dyDescent="0.25">
      <c r="C9" s="37" t="s">
        <v>134</v>
      </c>
      <c r="D9" s="38">
        <f>SUM(D6:D8)</f>
        <v>11577792.616859915</v>
      </c>
      <c r="E9" s="39">
        <f>SUM(E6:E8)</f>
        <v>1342424484</v>
      </c>
      <c r="F9" s="39">
        <f>SUM(F6:F8)</f>
        <v>21636</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52</v>
      </c>
      <c r="D13" s="16" t="s">
        <v>130</v>
      </c>
      <c r="E13" s="33" t="s">
        <v>131</v>
      </c>
      <c r="F13" s="16" t="s">
        <v>132</v>
      </c>
      <c r="H13" s="40">
        <v>45078</v>
      </c>
      <c r="I13" s="35">
        <v>21.814729833044101</v>
      </c>
      <c r="J13" s="36">
        <v>16356</v>
      </c>
      <c r="K13" s="36">
        <v>113</v>
      </c>
    </row>
    <row r="14" spans="3:11" ht="17" thickBot="1" x14ac:dyDescent="0.25">
      <c r="C14" s="41" t="s">
        <v>138</v>
      </c>
      <c r="D14" s="42">
        <v>11577792.61686</v>
      </c>
      <c r="E14" s="43">
        <v>1342424484</v>
      </c>
      <c r="F14" s="43">
        <v>20578</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x14ac:dyDescent="0.2">
      <c r="H41" s="40">
        <v>45931</v>
      </c>
      <c r="I41" s="35">
        <v>753999.35360656295</v>
      </c>
      <c r="J41" s="36">
        <v>138968847</v>
      </c>
      <c r="K41" s="36">
        <v>1027</v>
      </c>
    </row>
    <row r="42" spans="8:11" x14ac:dyDescent="0.2">
      <c r="H42" s="40">
        <v>45962</v>
      </c>
      <c r="I42" s="35">
        <v>809061.69320483005</v>
      </c>
      <c r="J42" s="36">
        <v>148917322</v>
      </c>
      <c r="K42" s="36">
        <v>975</v>
      </c>
    </row>
    <row r="43" spans="8:11" x14ac:dyDescent="0.2">
      <c r="H43" s="40">
        <v>45992</v>
      </c>
      <c r="I43" s="35">
        <v>1507174.8881679201</v>
      </c>
      <c r="J43" s="36">
        <v>138521336</v>
      </c>
      <c r="K43" s="36">
        <v>944</v>
      </c>
    </row>
    <row r="44" spans="8:11" x14ac:dyDescent="0.2">
      <c r="H44" s="40">
        <v>46023</v>
      </c>
      <c r="I44" s="35">
        <v>240721.08471202999</v>
      </c>
      <c r="J44" s="36">
        <v>43859690</v>
      </c>
      <c r="K44" s="36">
        <v>1112</v>
      </c>
    </row>
    <row r="45" spans="8:11" x14ac:dyDescent="0.2">
      <c r="H45" s="40">
        <v>46054</v>
      </c>
      <c r="I45" s="35">
        <v>2160290.0126189399</v>
      </c>
      <c r="J45" s="36">
        <v>468634867</v>
      </c>
      <c r="K45" s="36">
        <v>989</v>
      </c>
    </row>
    <row r="46" spans="8:11" ht="17" thickBot="1" x14ac:dyDescent="0.25">
      <c r="H46" s="40">
        <v>46082</v>
      </c>
      <c r="I46" s="53">
        <v>3602126.4780226201</v>
      </c>
      <c r="J46" s="54">
        <v>107400939</v>
      </c>
      <c r="K46" s="36">
        <v>944</v>
      </c>
    </row>
    <row r="47" spans="8:11" ht="17" thickBot="1" x14ac:dyDescent="0.25">
      <c r="H47" s="18" t="s">
        <v>135</v>
      </c>
      <c r="I47" s="44">
        <f>SUM(I6:I46)</f>
        <v>11577792.615569146</v>
      </c>
      <c r="J47" s="45">
        <f>SUM(J6:J46)</f>
        <v>1342424484</v>
      </c>
      <c r="K47" s="45">
        <f>SUM(K6:K46)</f>
        <v>27274</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9"/>
  <sheetViews>
    <sheetView workbookViewId="0"/>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5" width="12.28515625" style="9" bestFit="1" customWidth="1"/>
    <col min="16" max="16" width="9.42578125" style="9" bestFit="1" customWidth="1"/>
    <col min="17" max="17" width="11.85546875" style="9" bestFit="1" customWidth="1"/>
    <col min="18" max="16384" width="10.7109375" style="9"/>
  </cols>
  <sheetData>
    <row r="3" spans="1:15" ht="54" customHeight="1" x14ac:dyDescent="0.2">
      <c r="B3" s="265" t="s">
        <v>0</v>
      </c>
      <c r="C3" s="265"/>
      <c r="D3" s="265"/>
      <c r="E3" s="265"/>
      <c r="F3" s="90"/>
      <c r="G3" s="267" t="s">
        <v>5</v>
      </c>
      <c r="H3" s="267"/>
      <c r="I3" s="267"/>
      <c r="J3" s="267"/>
      <c r="K3" s="89"/>
      <c r="L3" s="267" t="s">
        <v>143</v>
      </c>
      <c r="M3" s="267"/>
      <c r="N3" s="267"/>
      <c r="O3" s="267"/>
    </row>
    <row r="4" spans="1:15" ht="23" x14ac:dyDescent="0.2">
      <c r="C4" s="129" t="s">
        <v>178</v>
      </c>
      <c r="E4" s="1"/>
      <c r="F4" s="1"/>
      <c r="H4" s="129" t="s">
        <v>178</v>
      </c>
      <c r="J4" s="3"/>
      <c r="K4" s="3"/>
      <c r="L4" s="2"/>
      <c r="M4" s="129" t="s">
        <v>178</v>
      </c>
      <c r="N4" s="2"/>
      <c r="O4" s="2"/>
    </row>
    <row r="5" spans="1:15" ht="17" thickBot="1" x14ac:dyDescent="0.25">
      <c r="L5"/>
      <c r="M5"/>
      <c r="N5"/>
      <c r="O5"/>
    </row>
    <row r="6" spans="1:15" ht="17" thickBot="1" x14ac:dyDescent="0.25">
      <c r="A6" s="6"/>
      <c r="B6" s="6"/>
      <c r="C6" s="106" t="s">
        <v>179</v>
      </c>
      <c r="D6" s="98" t="s">
        <v>141</v>
      </c>
      <c r="E6" s="99" t="s">
        <v>142</v>
      </c>
      <c r="G6" s="16" t="s">
        <v>116</v>
      </c>
      <c r="H6" s="106" t="s">
        <v>179</v>
      </c>
      <c r="I6" s="107" t="s">
        <v>141</v>
      </c>
      <c r="J6" s="108" t="s">
        <v>142</v>
      </c>
      <c r="L6" s="16" t="s">
        <v>53</v>
      </c>
      <c r="M6" s="118" t="s">
        <v>179</v>
      </c>
      <c r="N6" s="119" t="s">
        <v>141</v>
      </c>
      <c r="O6" s="120" t="s">
        <v>142</v>
      </c>
    </row>
    <row r="7" spans="1:15" x14ac:dyDescent="0.2">
      <c r="B7" s="121" t="s">
        <v>1</v>
      </c>
      <c r="C7" s="100">
        <v>3569810.9833484702</v>
      </c>
      <c r="D7" s="101">
        <v>86986420</v>
      </c>
      <c r="E7" s="104">
        <v>792</v>
      </c>
      <c r="G7" s="131" t="s">
        <v>6</v>
      </c>
      <c r="H7" s="132">
        <v>8.5417331513017398</v>
      </c>
      <c r="I7" s="133">
        <v>1337</v>
      </c>
      <c r="J7" s="134">
        <v>1</v>
      </c>
      <c r="K7" s="6"/>
      <c r="L7" s="110" t="s">
        <v>61</v>
      </c>
      <c r="M7" s="111">
        <v>0.63113246671855405</v>
      </c>
      <c r="N7" s="112">
        <v>374</v>
      </c>
      <c r="O7" s="113">
        <v>4</v>
      </c>
    </row>
    <row r="8" spans="1:15" x14ac:dyDescent="0.2">
      <c r="B8" s="122" t="s">
        <v>2</v>
      </c>
      <c r="C8" s="100">
        <v>2718.6630748072598</v>
      </c>
      <c r="D8" s="101">
        <v>2756214</v>
      </c>
      <c r="E8" s="104">
        <v>16</v>
      </c>
      <c r="G8" s="135" t="s">
        <v>7</v>
      </c>
      <c r="H8" s="100">
        <v>633.60340810567095</v>
      </c>
      <c r="I8" s="101">
        <v>610191</v>
      </c>
      <c r="J8" s="104">
        <v>7</v>
      </c>
      <c r="L8" s="114" t="s">
        <v>62</v>
      </c>
      <c r="M8" s="109">
        <v>82.468950024805906</v>
      </c>
      <c r="N8" s="93">
        <v>356618</v>
      </c>
      <c r="O8" s="115">
        <v>10</v>
      </c>
    </row>
    <row r="9" spans="1:15" ht="17" thickBot="1" x14ac:dyDescent="0.25">
      <c r="B9" s="123" t="s">
        <v>3</v>
      </c>
      <c r="C9" s="102">
        <v>29596.8315993426</v>
      </c>
      <c r="D9" s="103">
        <v>17658305</v>
      </c>
      <c r="E9" s="105">
        <v>163</v>
      </c>
      <c r="G9" s="135" t="s">
        <v>8</v>
      </c>
      <c r="H9" s="100">
        <v>680.08767652138999</v>
      </c>
      <c r="I9" s="101">
        <v>103005</v>
      </c>
      <c r="J9" s="104">
        <v>4</v>
      </c>
      <c r="L9" s="114" t="s">
        <v>63</v>
      </c>
      <c r="M9" s="109">
        <v>0.69565715175122</v>
      </c>
      <c r="N9" s="93">
        <v>4943</v>
      </c>
      <c r="O9" s="115">
        <v>14</v>
      </c>
    </row>
    <row r="10" spans="1:15" ht="17" thickBot="1" x14ac:dyDescent="0.25">
      <c r="B10" s="97" t="s">
        <v>4</v>
      </c>
      <c r="C10" s="96">
        <f>SUM(C7:C9)</f>
        <v>3602126.4780226201</v>
      </c>
      <c r="D10" s="94">
        <f>SUM(D7:D9)</f>
        <v>107400939</v>
      </c>
      <c r="E10" s="95">
        <f>SUM(E7:E9)</f>
        <v>971</v>
      </c>
      <c r="G10" s="135" t="s">
        <v>9</v>
      </c>
      <c r="H10" s="100">
        <v>2.1462611202150499</v>
      </c>
      <c r="I10" s="101">
        <v>181</v>
      </c>
      <c r="J10" s="104">
        <v>4</v>
      </c>
      <c r="L10" s="114" t="s">
        <v>64</v>
      </c>
      <c r="M10" s="109">
        <v>6.0891702910885197</v>
      </c>
      <c r="N10" s="93">
        <v>12179</v>
      </c>
      <c r="O10" s="115">
        <v>6</v>
      </c>
    </row>
    <row r="11" spans="1:15" x14ac:dyDescent="0.2">
      <c r="G11" s="135" t="s">
        <v>10</v>
      </c>
      <c r="H11" s="100">
        <v>1.1479308437556</v>
      </c>
      <c r="I11" s="101">
        <v>19</v>
      </c>
      <c r="J11" s="104">
        <v>2</v>
      </c>
      <c r="L11" s="114" t="s">
        <v>157</v>
      </c>
      <c r="M11" s="109">
        <v>1.8379668705165299E-2</v>
      </c>
      <c r="N11" s="93">
        <v>22</v>
      </c>
      <c r="O11" s="115">
        <v>1</v>
      </c>
    </row>
    <row r="12" spans="1:15" x14ac:dyDescent="0.2">
      <c r="G12" s="135" t="s">
        <v>11</v>
      </c>
      <c r="H12" s="100">
        <v>9888.83076780382</v>
      </c>
      <c r="I12" s="101">
        <v>2932228</v>
      </c>
      <c r="J12" s="104">
        <v>5</v>
      </c>
      <c r="L12" s="114" t="s">
        <v>180</v>
      </c>
      <c r="M12" s="109">
        <v>4.0959846228361104E-3</v>
      </c>
      <c r="N12" s="93">
        <v>5</v>
      </c>
      <c r="O12" s="115">
        <v>2</v>
      </c>
    </row>
    <row r="13" spans="1:15" x14ac:dyDescent="0.2">
      <c r="G13" s="135" t="s">
        <v>12</v>
      </c>
      <c r="H13" s="100">
        <v>11.257127654738699</v>
      </c>
      <c r="I13" s="101">
        <v>3017</v>
      </c>
      <c r="J13" s="104">
        <v>8</v>
      </c>
      <c r="L13" s="114" t="s">
        <v>65</v>
      </c>
      <c r="M13" s="109">
        <v>1.2878037057816901E-2</v>
      </c>
      <c r="N13" s="93">
        <v>17</v>
      </c>
      <c r="O13" s="115">
        <v>3</v>
      </c>
    </row>
    <row r="14" spans="1:15" ht="22" customHeight="1" x14ac:dyDescent="0.2">
      <c r="B14" s="265" t="s">
        <v>21</v>
      </c>
      <c r="C14" s="265"/>
      <c r="D14" s="265"/>
      <c r="E14" s="265"/>
      <c r="G14" s="135" t="s">
        <v>13</v>
      </c>
      <c r="H14" s="100">
        <v>15606.2767415568</v>
      </c>
      <c r="I14" s="101">
        <v>1186018</v>
      </c>
      <c r="J14" s="104">
        <v>60</v>
      </c>
      <c r="L14" s="114" t="s">
        <v>181</v>
      </c>
      <c r="M14" s="109">
        <v>9.4648450613021796E-5</v>
      </c>
      <c r="N14" s="93">
        <v>0</v>
      </c>
      <c r="O14" s="115">
        <v>1</v>
      </c>
    </row>
    <row r="15" spans="1:15" ht="25" customHeight="1" x14ac:dyDescent="0.2">
      <c r="B15" s="265"/>
      <c r="C15" s="265"/>
      <c r="D15" s="265"/>
      <c r="E15" s="265"/>
      <c r="G15" s="135" t="s">
        <v>14</v>
      </c>
      <c r="H15" s="100">
        <v>6698.3914817143204</v>
      </c>
      <c r="I15" s="101">
        <v>1653873</v>
      </c>
      <c r="J15" s="104">
        <v>11</v>
      </c>
      <c r="L15" s="114" t="s">
        <v>106</v>
      </c>
      <c r="M15" s="109">
        <v>819.47828348632902</v>
      </c>
      <c r="N15" s="93">
        <v>164562</v>
      </c>
      <c r="O15" s="115">
        <v>11</v>
      </c>
    </row>
    <row r="16" spans="1:15" ht="23" x14ac:dyDescent="0.2">
      <c r="C16" s="129" t="s">
        <v>178</v>
      </c>
      <c r="F16" s="91"/>
      <c r="G16" s="135" t="s">
        <v>15</v>
      </c>
      <c r="H16" s="100">
        <v>1274.0576434321699</v>
      </c>
      <c r="I16" s="101">
        <v>173366</v>
      </c>
      <c r="J16" s="104">
        <v>5</v>
      </c>
      <c r="L16" s="114" t="s">
        <v>66</v>
      </c>
      <c r="M16" s="109">
        <v>0.387330941855907</v>
      </c>
      <c r="N16" s="93">
        <v>158</v>
      </c>
      <c r="O16" s="115">
        <v>6</v>
      </c>
    </row>
    <row r="17" spans="2:15" ht="24" thickBot="1" x14ac:dyDescent="0.25">
      <c r="F17" s="1"/>
      <c r="G17" s="135" t="s">
        <v>16</v>
      </c>
      <c r="H17" s="100">
        <v>1367.3775374060399</v>
      </c>
      <c r="I17" s="101">
        <v>2603827</v>
      </c>
      <c r="J17" s="104">
        <v>31</v>
      </c>
      <c r="L17" s="114" t="s">
        <v>182</v>
      </c>
      <c r="M17" s="109">
        <v>294.18665793165502</v>
      </c>
      <c r="N17" s="93">
        <v>824</v>
      </c>
      <c r="O17" s="115">
        <v>1</v>
      </c>
    </row>
    <row r="18" spans="2:15" ht="17" thickBot="1" x14ac:dyDescent="0.25">
      <c r="B18" s="16" t="s">
        <v>51</v>
      </c>
      <c r="C18" s="106" t="s">
        <v>179</v>
      </c>
      <c r="D18" s="119" t="s">
        <v>141</v>
      </c>
      <c r="E18" s="120" t="s">
        <v>142</v>
      </c>
      <c r="G18" s="135" t="s">
        <v>17</v>
      </c>
      <c r="H18" s="100">
        <v>32605.7647384013</v>
      </c>
      <c r="I18" s="101">
        <v>10465747</v>
      </c>
      <c r="J18" s="104">
        <v>84</v>
      </c>
      <c r="L18" s="114" t="s">
        <v>67</v>
      </c>
      <c r="M18" s="109">
        <v>10937.0984979365</v>
      </c>
      <c r="N18" s="93">
        <v>1718114</v>
      </c>
      <c r="O18" s="115">
        <v>31</v>
      </c>
    </row>
    <row r="19" spans="2:15" x14ac:dyDescent="0.2">
      <c r="B19" s="136" t="s">
        <v>22</v>
      </c>
      <c r="C19" s="137">
        <v>3470492.6075806832</v>
      </c>
      <c r="D19" s="133">
        <v>73596941</v>
      </c>
      <c r="E19" s="134">
        <v>670</v>
      </c>
      <c r="G19" s="135" t="s">
        <v>18</v>
      </c>
      <c r="H19" s="100">
        <v>807.80893608089502</v>
      </c>
      <c r="I19" s="101">
        <v>674410</v>
      </c>
      <c r="J19" s="104">
        <v>650</v>
      </c>
      <c r="L19" s="114" t="s">
        <v>107</v>
      </c>
      <c r="M19" s="109">
        <v>1.8732622265815701E-5</v>
      </c>
      <c r="N19" s="93">
        <v>2</v>
      </c>
      <c r="O19" s="115">
        <v>1</v>
      </c>
    </row>
    <row r="20" spans="2:15" x14ac:dyDescent="0.2">
      <c r="B20" s="138" t="s">
        <v>23</v>
      </c>
      <c r="C20" s="139">
        <v>53481.633571687984</v>
      </c>
      <c r="D20" s="101">
        <v>25094760</v>
      </c>
      <c r="E20" s="104">
        <v>18</v>
      </c>
      <c r="G20" s="135" t="s">
        <v>117</v>
      </c>
      <c r="H20" s="100">
        <v>3532532.5560496999</v>
      </c>
      <c r="I20" s="101">
        <v>86993247</v>
      </c>
      <c r="J20" s="104">
        <v>67</v>
      </c>
      <c r="L20" s="114" t="s">
        <v>161</v>
      </c>
      <c r="M20" s="109">
        <v>2.0046066492795901E-4</v>
      </c>
      <c r="N20" s="93">
        <v>1</v>
      </c>
      <c r="O20" s="115">
        <v>1</v>
      </c>
    </row>
    <row r="21" spans="2:15" x14ac:dyDescent="0.2">
      <c r="B21" s="138" t="s">
        <v>24</v>
      </c>
      <c r="C21" s="139">
        <v>57903.729094709197</v>
      </c>
      <c r="D21" s="101">
        <v>4208424</v>
      </c>
      <c r="E21" s="104">
        <v>62</v>
      </c>
      <c r="G21" s="135" t="s">
        <v>19</v>
      </c>
      <c r="H21" s="100">
        <v>1.7774965045973601</v>
      </c>
      <c r="I21" s="101">
        <v>304</v>
      </c>
      <c r="J21" s="104">
        <v>5</v>
      </c>
      <c r="L21" s="114" t="s">
        <v>158</v>
      </c>
      <c r="M21" s="109">
        <v>1.33653795346617E-2</v>
      </c>
      <c r="N21" s="93">
        <v>26</v>
      </c>
      <c r="O21" s="115">
        <v>3</v>
      </c>
    </row>
    <row r="22" spans="2:15" ht="17" thickBot="1" x14ac:dyDescent="0.25">
      <c r="B22" s="138" t="s">
        <v>25</v>
      </c>
      <c r="C22" s="139">
        <v>16366.543494596053</v>
      </c>
      <c r="D22" s="101">
        <v>4381384</v>
      </c>
      <c r="E22" s="104">
        <v>42</v>
      </c>
      <c r="G22" s="135" t="s">
        <v>20</v>
      </c>
      <c r="H22" s="100">
        <v>6.8524926239624602</v>
      </c>
      <c r="I22" s="101">
        <v>169</v>
      </c>
      <c r="J22" s="104">
        <v>2</v>
      </c>
      <c r="L22" s="114" t="s">
        <v>149</v>
      </c>
      <c r="M22" s="109">
        <v>9.0308813378214801E-3</v>
      </c>
      <c r="N22" s="93">
        <v>33</v>
      </c>
      <c r="O22" s="115">
        <v>2</v>
      </c>
    </row>
    <row r="23" spans="2:15" ht="17" thickBot="1" x14ac:dyDescent="0.25">
      <c r="B23" s="138" t="s">
        <v>26</v>
      </c>
      <c r="C23" s="139">
        <v>4.8666429361328474</v>
      </c>
      <c r="D23" s="101">
        <v>12228</v>
      </c>
      <c r="E23" s="104">
        <v>6</v>
      </c>
      <c r="G23" s="142" t="s">
        <v>4</v>
      </c>
      <c r="H23" s="143">
        <f>SUM(H7:H22)</f>
        <v>3602126.478022621</v>
      </c>
      <c r="I23" s="144">
        <f>SUM(I7:I22)</f>
        <v>107400939</v>
      </c>
      <c r="J23" s="145">
        <f>SUM(J7:J22)</f>
        <v>946</v>
      </c>
      <c r="L23" s="114" t="s">
        <v>68</v>
      </c>
      <c r="M23" s="109">
        <v>1145.5955291381099</v>
      </c>
      <c r="N23" s="93">
        <v>13197</v>
      </c>
      <c r="O23" s="115">
        <v>28</v>
      </c>
    </row>
    <row r="24" spans="2:15" ht="17" thickBot="1" x14ac:dyDescent="0.25">
      <c r="B24" s="140" t="s">
        <v>27</v>
      </c>
      <c r="C24" s="141">
        <v>3877.097638009112</v>
      </c>
      <c r="D24" s="103">
        <v>107202</v>
      </c>
      <c r="E24" s="105">
        <v>187</v>
      </c>
      <c r="L24" s="114" t="s">
        <v>69</v>
      </c>
      <c r="M24" s="109">
        <v>0.106645662337541</v>
      </c>
      <c r="N24" s="93">
        <v>248</v>
      </c>
      <c r="O24" s="115">
        <v>8</v>
      </c>
    </row>
    <row r="25" spans="2:15" ht="17" thickBot="1" x14ac:dyDescent="0.25">
      <c r="B25" s="97" t="s">
        <v>4</v>
      </c>
      <c r="C25" s="96">
        <f>SUM(C19:C24)</f>
        <v>3602126.4780226219</v>
      </c>
      <c r="D25" s="94">
        <f>SUM(D19:D24)</f>
        <v>107400939</v>
      </c>
      <c r="E25" s="95">
        <f>SUM(E19:E24)</f>
        <v>985</v>
      </c>
      <c r="L25" s="114" t="s">
        <v>70</v>
      </c>
      <c r="M25" s="109">
        <v>4268.7143878657298</v>
      </c>
      <c r="N25" s="93">
        <v>2751426</v>
      </c>
      <c r="O25" s="115">
        <v>80</v>
      </c>
    </row>
    <row r="26" spans="2:15" x14ac:dyDescent="0.2">
      <c r="L26" s="114" t="s">
        <v>71</v>
      </c>
      <c r="M26" s="109">
        <v>0.69994711503386398</v>
      </c>
      <c r="N26" s="93">
        <v>841</v>
      </c>
      <c r="O26" s="115">
        <v>32</v>
      </c>
    </row>
    <row r="27" spans="2:15" x14ac:dyDescent="0.2">
      <c r="L27" s="114" t="s">
        <v>183</v>
      </c>
      <c r="M27" s="109">
        <v>12.9952519033104</v>
      </c>
      <c r="N27" s="93">
        <v>2042</v>
      </c>
      <c r="O27" s="115">
        <v>2</v>
      </c>
    </row>
    <row r="28" spans="2:15" x14ac:dyDescent="0.2">
      <c r="L28" s="114" t="s">
        <v>167</v>
      </c>
      <c r="M28" s="109">
        <v>6.4251119270920698E-2</v>
      </c>
      <c r="N28" s="93">
        <v>24</v>
      </c>
      <c r="O28" s="115">
        <v>4</v>
      </c>
    </row>
    <row r="29" spans="2:15" x14ac:dyDescent="0.2">
      <c r="L29" s="114" t="s">
        <v>184</v>
      </c>
      <c r="M29" s="109">
        <v>9.4646587967872606E-5</v>
      </c>
      <c r="N29" s="93">
        <v>0</v>
      </c>
      <c r="O29" s="115">
        <v>1</v>
      </c>
    </row>
    <row r="30" spans="2:15" x14ac:dyDescent="0.2">
      <c r="L30" s="114" t="s">
        <v>185</v>
      </c>
      <c r="M30" s="109">
        <v>4.3069627135991998E-3</v>
      </c>
      <c r="N30" s="93">
        <v>13</v>
      </c>
      <c r="O30" s="115">
        <v>1</v>
      </c>
    </row>
    <row r="31" spans="2:15" x14ac:dyDescent="0.2">
      <c r="L31" s="114" t="s">
        <v>186</v>
      </c>
      <c r="M31" s="109">
        <v>3.0498012900352409E-2</v>
      </c>
      <c r="N31" s="93">
        <v>33</v>
      </c>
      <c r="O31" s="115">
        <v>3</v>
      </c>
    </row>
    <row r="32" spans="2:15" x14ac:dyDescent="0.2">
      <c r="L32" s="114" t="s">
        <v>105</v>
      </c>
      <c r="M32" s="109">
        <v>2.3747049272060299E-4</v>
      </c>
      <c r="N32" s="93">
        <v>18</v>
      </c>
      <c r="O32" s="115">
        <v>4</v>
      </c>
    </row>
    <row r="33" spans="12:15" x14ac:dyDescent="0.2">
      <c r="L33" s="114" t="s">
        <v>72</v>
      </c>
      <c r="M33" s="109">
        <v>6.45607914775609E-2</v>
      </c>
      <c r="N33" s="93">
        <v>160</v>
      </c>
      <c r="O33" s="115">
        <v>4</v>
      </c>
    </row>
    <row r="34" spans="12:15" x14ac:dyDescent="0.2">
      <c r="L34" s="114" t="s">
        <v>73</v>
      </c>
      <c r="M34" s="109">
        <v>0.13493677694350401</v>
      </c>
      <c r="N34" s="93">
        <v>75</v>
      </c>
      <c r="O34" s="115">
        <v>3</v>
      </c>
    </row>
    <row r="35" spans="12:15" x14ac:dyDescent="0.2">
      <c r="L35" s="114" t="s">
        <v>187</v>
      </c>
      <c r="M35" s="109">
        <v>2.0584872923791402E-2</v>
      </c>
      <c r="N35" s="93">
        <v>11</v>
      </c>
      <c r="O35" s="115">
        <v>1</v>
      </c>
    </row>
    <row r="36" spans="12:15" x14ac:dyDescent="0.2">
      <c r="L36" s="114" t="s">
        <v>74</v>
      </c>
      <c r="M36" s="109">
        <v>2.9916126281023001E-2</v>
      </c>
      <c r="N36" s="93">
        <v>31</v>
      </c>
      <c r="O36" s="115">
        <v>3</v>
      </c>
    </row>
    <row r="37" spans="12:15" x14ac:dyDescent="0.2">
      <c r="L37" s="114" t="s">
        <v>159</v>
      </c>
      <c r="M37" s="109">
        <v>7.3894442990422193E-2</v>
      </c>
      <c r="N37" s="93">
        <v>36</v>
      </c>
      <c r="O37" s="115">
        <v>2</v>
      </c>
    </row>
    <row r="38" spans="12:15" x14ac:dyDescent="0.2">
      <c r="L38" s="114" t="s">
        <v>75</v>
      </c>
      <c r="M38" s="109">
        <v>112.730024151504</v>
      </c>
      <c r="N38" s="93">
        <v>507881</v>
      </c>
      <c r="O38" s="115">
        <v>14</v>
      </c>
    </row>
    <row r="39" spans="12:15" x14ac:dyDescent="0.2">
      <c r="L39" s="114" t="s">
        <v>76</v>
      </c>
      <c r="M39" s="109">
        <v>283.37625431455598</v>
      </c>
      <c r="N39" s="93">
        <v>1899</v>
      </c>
      <c r="O39" s="115">
        <v>14</v>
      </c>
    </row>
    <row r="40" spans="12:15" x14ac:dyDescent="0.2">
      <c r="L40" s="114" t="s">
        <v>77</v>
      </c>
      <c r="M40" s="109">
        <v>5.26243820786476E-5</v>
      </c>
      <c r="N40" s="93">
        <v>2</v>
      </c>
      <c r="O40" s="115">
        <v>1</v>
      </c>
    </row>
    <row r="41" spans="12:15" x14ac:dyDescent="0.2">
      <c r="L41" s="114" t="s">
        <v>168</v>
      </c>
      <c r="M41" s="109">
        <v>4.1761202737689001E-3</v>
      </c>
      <c r="N41" s="93">
        <v>8</v>
      </c>
      <c r="O41" s="115">
        <v>1</v>
      </c>
    </row>
    <row r="42" spans="12:15" x14ac:dyDescent="0.2">
      <c r="L42" s="114" t="s">
        <v>54</v>
      </c>
      <c r="M42" s="109">
        <v>1.1102416077628701</v>
      </c>
      <c r="N42" s="93">
        <v>880</v>
      </c>
      <c r="O42" s="115">
        <v>16</v>
      </c>
    </row>
    <row r="43" spans="12:15" x14ac:dyDescent="0.2">
      <c r="L43" s="114" t="s">
        <v>188</v>
      </c>
      <c r="M43" s="109">
        <v>9.7258016467094404E-6</v>
      </c>
      <c r="N43" s="93">
        <v>1</v>
      </c>
      <c r="O43" s="115">
        <v>1</v>
      </c>
    </row>
    <row r="44" spans="12:15" x14ac:dyDescent="0.2">
      <c r="L44" s="114" t="s">
        <v>78</v>
      </c>
      <c r="M44" s="109">
        <v>234.09550434350899</v>
      </c>
      <c r="N44" s="93">
        <v>34388</v>
      </c>
      <c r="O44" s="115">
        <v>31</v>
      </c>
    </row>
    <row r="45" spans="12:15" x14ac:dyDescent="0.2">
      <c r="L45" s="114" t="s">
        <v>79</v>
      </c>
      <c r="M45" s="109">
        <v>8.9483483694493701E-2</v>
      </c>
      <c r="N45" s="93">
        <v>45</v>
      </c>
      <c r="O45" s="115">
        <v>6</v>
      </c>
    </row>
    <row r="46" spans="12:15" x14ac:dyDescent="0.2">
      <c r="L46" s="114" t="s">
        <v>80</v>
      </c>
      <c r="M46" s="109">
        <v>9.4454735517501797E-6</v>
      </c>
      <c r="N46" s="93">
        <v>1</v>
      </c>
      <c r="O46" s="115">
        <v>1</v>
      </c>
    </row>
    <row r="47" spans="12:15" x14ac:dyDescent="0.2">
      <c r="L47" s="114" t="s">
        <v>169</v>
      </c>
      <c r="M47" s="109">
        <v>7.8261829912662506E-5</v>
      </c>
      <c r="N47" s="93">
        <v>6</v>
      </c>
      <c r="O47" s="115">
        <v>1</v>
      </c>
    </row>
    <row r="48" spans="12:15" x14ac:dyDescent="0.2">
      <c r="L48" s="114" t="s">
        <v>189</v>
      </c>
      <c r="M48" s="109">
        <v>4.5044956728815998E-2</v>
      </c>
      <c r="N48" s="93">
        <v>31</v>
      </c>
      <c r="O48" s="115">
        <v>5</v>
      </c>
    </row>
    <row r="49" spans="12:15" x14ac:dyDescent="0.2">
      <c r="L49" s="114" t="s">
        <v>81</v>
      </c>
      <c r="M49" s="109">
        <v>24.574614580720599</v>
      </c>
      <c r="N49" s="93">
        <v>2608</v>
      </c>
      <c r="O49" s="115">
        <v>22</v>
      </c>
    </row>
    <row r="50" spans="12:15" x14ac:dyDescent="0.2">
      <c r="L50" s="114" t="s">
        <v>82</v>
      </c>
      <c r="M50" s="109">
        <v>4.6259801490232304</v>
      </c>
      <c r="N50" s="93">
        <v>502</v>
      </c>
      <c r="O50" s="115">
        <v>22</v>
      </c>
    </row>
    <row r="51" spans="12:15" x14ac:dyDescent="0.2">
      <c r="L51" s="114" t="s">
        <v>108</v>
      </c>
      <c r="M51" s="109">
        <v>0.152854937128722</v>
      </c>
      <c r="N51" s="93">
        <v>41</v>
      </c>
      <c r="O51" s="115">
        <v>2</v>
      </c>
    </row>
    <row r="52" spans="12:15" x14ac:dyDescent="0.2">
      <c r="L52" s="114" t="s">
        <v>109</v>
      </c>
      <c r="M52" s="109">
        <v>0.15235031582415101</v>
      </c>
      <c r="N52" s="93">
        <v>33</v>
      </c>
      <c r="O52" s="115">
        <v>2</v>
      </c>
    </row>
    <row r="53" spans="12:15" x14ac:dyDescent="0.2">
      <c r="L53" s="114" t="s">
        <v>190</v>
      </c>
      <c r="M53" s="109">
        <v>7.3368940502405102E-4</v>
      </c>
      <c r="N53" s="93">
        <v>2</v>
      </c>
      <c r="O53" s="115">
        <v>2</v>
      </c>
    </row>
    <row r="54" spans="12:15" x14ac:dyDescent="0.2">
      <c r="L54" s="114" t="s">
        <v>55</v>
      </c>
      <c r="M54" s="109">
        <v>828.53025878407016</v>
      </c>
      <c r="N54" s="93">
        <v>252510</v>
      </c>
      <c r="O54" s="115">
        <v>14</v>
      </c>
    </row>
    <row r="55" spans="12:15" x14ac:dyDescent="0.2">
      <c r="L55" s="114" t="s">
        <v>191</v>
      </c>
      <c r="M55" s="109">
        <v>1.28842890262603E-4</v>
      </c>
      <c r="N55" s="93">
        <v>0</v>
      </c>
      <c r="O55" s="115">
        <v>1</v>
      </c>
    </row>
    <row r="56" spans="12:15" x14ac:dyDescent="0.2">
      <c r="L56" s="114" t="s">
        <v>192</v>
      </c>
      <c r="M56" s="109">
        <v>2.9541545547544901E-2</v>
      </c>
      <c r="N56" s="93">
        <v>53</v>
      </c>
      <c r="O56" s="115">
        <v>2</v>
      </c>
    </row>
    <row r="57" spans="12:15" x14ac:dyDescent="0.2">
      <c r="L57" s="114" t="s">
        <v>170</v>
      </c>
      <c r="M57" s="109">
        <v>4.25061210989952E-3</v>
      </c>
      <c r="N57" s="93">
        <v>13</v>
      </c>
      <c r="O57" s="115">
        <v>1</v>
      </c>
    </row>
    <row r="58" spans="12:15" x14ac:dyDescent="0.2">
      <c r="L58" s="114" t="s">
        <v>193</v>
      </c>
      <c r="M58" s="109">
        <v>1.33129451423883E-2</v>
      </c>
      <c r="N58" s="93">
        <v>20</v>
      </c>
      <c r="O58" s="115">
        <v>2</v>
      </c>
    </row>
    <row r="59" spans="12:15" x14ac:dyDescent="0.2">
      <c r="L59" s="114" t="s">
        <v>171</v>
      </c>
      <c r="M59" s="109">
        <v>60.651725526899</v>
      </c>
      <c r="N59" s="93">
        <v>145376</v>
      </c>
      <c r="O59" s="115">
        <v>2</v>
      </c>
    </row>
    <row r="60" spans="12:15" x14ac:dyDescent="0.2">
      <c r="L60" s="114" t="s">
        <v>194</v>
      </c>
      <c r="M60" s="109">
        <v>6.9089736789464899E-3</v>
      </c>
      <c r="N60" s="93">
        <v>4</v>
      </c>
      <c r="O60" s="115">
        <v>1</v>
      </c>
    </row>
    <row r="61" spans="12:15" x14ac:dyDescent="0.2">
      <c r="L61" s="114" t="s">
        <v>83</v>
      </c>
      <c r="M61" s="109">
        <v>0.53606321383267597</v>
      </c>
      <c r="N61" s="93">
        <v>476</v>
      </c>
      <c r="O61" s="115">
        <v>4</v>
      </c>
    </row>
    <row r="62" spans="12:15" x14ac:dyDescent="0.2">
      <c r="L62" s="114" t="s">
        <v>195</v>
      </c>
      <c r="M62" s="109">
        <v>2.5038959458470299E-2</v>
      </c>
      <c r="N62" s="93">
        <v>29</v>
      </c>
      <c r="O62" s="115">
        <v>2</v>
      </c>
    </row>
    <row r="63" spans="12:15" x14ac:dyDescent="0.2">
      <c r="L63" s="114" t="s">
        <v>196</v>
      </c>
      <c r="M63" s="109">
        <v>0.26607328746467801</v>
      </c>
      <c r="N63" s="93">
        <v>142</v>
      </c>
      <c r="O63" s="115">
        <v>2</v>
      </c>
    </row>
    <row r="64" spans="12:15" x14ac:dyDescent="0.2">
      <c r="L64" s="114" t="s">
        <v>84</v>
      </c>
      <c r="M64" s="109">
        <v>362.47641667909897</v>
      </c>
      <c r="N64" s="93">
        <v>2847</v>
      </c>
      <c r="O64" s="115">
        <v>23</v>
      </c>
    </row>
    <row r="65" spans="12:15" x14ac:dyDescent="0.2">
      <c r="L65" s="114" t="s">
        <v>197</v>
      </c>
      <c r="M65" s="109">
        <v>192.56345187127499</v>
      </c>
      <c r="N65" s="93">
        <v>271519</v>
      </c>
      <c r="O65" s="115">
        <v>1</v>
      </c>
    </row>
    <row r="66" spans="12:15" x14ac:dyDescent="0.2">
      <c r="L66" s="114" t="s">
        <v>110</v>
      </c>
      <c r="M66" s="109">
        <v>2.2340266034007E-2</v>
      </c>
      <c r="N66" s="93">
        <v>11</v>
      </c>
      <c r="O66" s="115">
        <v>2</v>
      </c>
    </row>
    <row r="67" spans="12:15" x14ac:dyDescent="0.2">
      <c r="L67" s="114" t="s">
        <v>85</v>
      </c>
      <c r="M67" s="109">
        <v>92.729572722688303</v>
      </c>
      <c r="N67" s="93">
        <v>8622</v>
      </c>
      <c r="O67" s="115">
        <v>4</v>
      </c>
    </row>
    <row r="68" spans="12:15" x14ac:dyDescent="0.2">
      <c r="L68" s="114" t="s">
        <v>162</v>
      </c>
      <c r="M68" s="109">
        <v>1052.72819109074</v>
      </c>
      <c r="N68" s="93">
        <v>162915</v>
      </c>
      <c r="O68" s="115">
        <v>2</v>
      </c>
    </row>
    <row r="69" spans="12:15" x14ac:dyDescent="0.2">
      <c r="L69" s="114" t="s">
        <v>198</v>
      </c>
      <c r="M69" s="109">
        <v>0.216285937465727</v>
      </c>
      <c r="N69" s="93">
        <v>66</v>
      </c>
      <c r="O69" s="115">
        <v>2</v>
      </c>
    </row>
    <row r="70" spans="12:15" x14ac:dyDescent="0.2">
      <c r="L70" s="114" t="s">
        <v>150</v>
      </c>
      <c r="M70" s="109">
        <v>1.7088151536881899E-2</v>
      </c>
      <c r="N70" s="93">
        <v>11</v>
      </c>
      <c r="O70" s="115">
        <v>2</v>
      </c>
    </row>
    <row r="71" spans="12:15" x14ac:dyDescent="0.2">
      <c r="L71" s="114" t="s">
        <v>86</v>
      </c>
      <c r="M71" s="109">
        <v>3.6541135078295981</v>
      </c>
      <c r="N71" s="93">
        <v>505</v>
      </c>
      <c r="O71" s="115">
        <v>15</v>
      </c>
    </row>
    <row r="72" spans="12:15" x14ac:dyDescent="0.2">
      <c r="L72" s="114" t="s">
        <v>87</v>
      </c>
      <c r="M72" s="109">
        <v>22.892479041591201</v>
      </c>
      <c r="N72" s="93">
        <v>5442</v>
      </c>
      <c r="O72" s="115">
        <v>4</v>
      </c>
    </row>
    <row r="73" spans="12:15" x14ac:dyDescent="0.2">
      <c r="L73" s="114" t="s">
        <v>151</v>
      </c>
      <c r="M73" s="109">
        <v>4.6831844374537399E-3</v>
      </c>
      <c r="N73" s="93">
        <v>53</v>
      </c>
      <c r="O73" s="115">
        <v>1</v>
      </c>
    </row>
    <row r="74" spans="12:15" x14ac:dyDescent="0.2">
      <c r="L74" s="114" t="s">
        <v>111</v>
      </c>
      <c r="M74" s="109">
        <v>4.72655016928911E-2</v>
      </c>
      <c r="N74" s="93">
        <v>40</v>
      </c>
      <c r="O74" s="115">
        <v>2</v>
      </c>
    </row>
    <row r="75" spans="12:15" x14ac:dyDescent="0.2">
      <c r="L75" s="114" t="s">
        <v>88</v>
      </c>
      <c r="M75" s="109">
        <v>0.27551034931093399</v>
      </c>
      <c r="N75" s="93">
        <v>60</v>
      </c>
      <c r="O75" s="115">
        <v>2</v>
      </c>
    </row>
    <row r="76" spans="12:15" x14ac:dyDescent="0.2">
      <c r="L76" s="114" t="s">
        <v>172</v>
      </c>
      <c r="M76" s="109">
        <v>1.2159535661339701E-2</v>
      </c>
      <c r="N76" s="93">
        <v>2</v>
      </c>
      <c r="O76" s="115">
        <v>1</v>
      </c>
    </row>
    <row r="77" spans="12:15" x14ac:dyDescent="0.2">
      <c r="L77" s="114" t="s">
        <v>89</v>
      </c>
      <c r="M77" s="109">
        <v>9.4647519290447194E-5</v>
      </c>
      <c r="N77" s="93">
        <v>0</v>
      </c>
      <c r="O77" s="115">
        <v>1</v>
      </c>
    </row>
    <row r="78" spans="12:15" x14ac:dyDescent="0.2">
      <c r="L78" s="114" t="s">
        <v>173</v>
      </c>
      <c r="M78" s="109">
        <v>5.34701198339462E-2</v>
      </c>
      <c r="N78" s="93">
        <v>49</v>
      </c>
      <c r="O78" s="115">
        <v>5</v>
      </c>
    </row>
    <row r="79" spans="12:15" x14ac:dyDescent="0.2">
      <c r="L79" s="114" t="s">
        <v>160</v>
      </c>
      <c r="M79" s="109">
        <v>4.6778097748756398E-4</v>
      </c>
      <c r="N79" s="93">
        <v>1</v>
      </c>
      <c r="O79" s="115">
        <v>1</v>
      </c>
    </row>
    <row r="80" spans="12:15" x14ac:dyDescent="0.2">
      <c r="L80" s="114" t="s">
        <v>90</v>
      </c>
      <c r="M80" s="109">
        <v>24.265379388816601</v>
      </c>
      <c r="N80" s="93">
        <v>19450</v>
      </c>
      <c r="O80" s="115">
        <v>12</v>
      </c>
    </row>
    <row r="81" spans="12:15" x14ac:dyDescent="0.2">
      <c r="L81" s="114" t="s">
        <v>91</v>
      </c>
      <c r="M81" s="109">
        <v>4.1342641226947301E-2</v>
      </c>
      <c r="N81" s="93">
        <v>37</v>
      </c>
      <c r="O81" s="115">
        <v>2</v>
      </c>
    </row>
    <row r="82" spans="12:15" x14ac:dyDescent="0.2">
      <c r="L82" s="114" t="s">
        <v>56</v>
      </c>
      <c r="M82" s="109">
        <v>2.18847836833447</v>
      </c>
      <c r="N82" s="93">
        <v>451</v>
      </c>
      <c r="O82" s="115">
        <v>3</v>
      </c>
    </row>
    <row r="83" spans="12:15" x14ac:dyDescent="0.2">
      <c r="L83" s="114" t="s">
        <v>112</v>
      </c>
      <c r="M83" s="109">
        <v>0.90389301534742095</v>
      </c>
      <c r="N83" s="93">
        <v>445</v>
      </c>
      <c r="O83" s="115">
        <v>2</v>
      </c>
    </row>
    <row r="84" spans="12:15" x14ac:dyDescent="0.2">
      <c r="L84" s="114" t="s">
        <v>92</v>
      </c>
      <c r="M84" s="109">
        <v>0.14503793418407421</v>
      </c>
      <c r="N84" s="93">
        <v>73</v>
      </c>
      <c r="O84" s="115">
        <v>7</v>
      </c>
    </row>
    <row r="85" spans="12:15" x14ac:dyDescent="0.2">
      <c r="L85" s="114" t="s">
        <v>93</v>
      </c>
      <c r="M85" s="109">
        <v>8.6691709235310499E-2</v>
      </c>
      <c r="N85" s="93">
        <v>81</v>
      </c>
      <c r="O85" s="115">
        <v>2</v>
      </c>
    </row>
    <row r="86" spans="12:15" x14ac:dyDescent="0.2">
      <c r="L86" s="114" t="s">
        <v>94</v>
      </c>
      <c r="M86" s="109">
        <v>2.1736718909814901</v>
      </c>
      <c r="N86" s="93">
        <v>783</v>
      </c>
      <c r="O86" s="115">
        <v>8</v>
      </c>
    </row>
    <row r="87" spans="12:15" x14ac:dyDescent="0.2">
      <c r="L87" s="114" t="s">
        <v>163</v>
      </c>
      <c r="M87" s="109">
        <v>0.22082314640283501</v>
      </c>
      <c r="N87" s="93">
        <v>35</v>
      </c>
      <c r="O87" s="115">
        <v>1</v>
      </c>
    </row>
    <row r="88" spans="12:15" x14ac:dyDescent="0.2">
      <c r="L88" s="114" t="s">
        <v>174</v>
      </c>
      <c r="M88" s="109">
        <v>9.4649381935596398E-5</v>
      </c>
      <c r="N88" s="93">
        <v>0</v>
      </c>
      <c r="O88" s="115">
        <v>1</v>
      </c>
    </row>
    <row r="89" spans="12:15" x14ac:dyDescent="0.2">
      <c r="L89" s="114" t="s">
        <v>95</v>
      </c>
      <c r="M89" s="109">
        <v>80.904433851130307</v>
      </c>
      <c r="N89" s="93">
        <v>12559</v>
      </c>
      <c r="O89" s="115">
        <v>2</v>
      </c>
    </row>
    <row r="90" spans="12:15" x14ac:dyDescent="0.2">
      <c r="L90" s="114" t="s">
        <v>199</v>
      </c>
      <c r="M90" s="109">
        <v>8.8018793612718495E-3</v>
      </c>
      <c r="N90" s="93">
        <v>31</v>
      </c>
      <c r="O90" s="115">
        <v>1</v>
      </c>
    </row>
    <row r="91" spans="12:15" x14ac:dyDescent="0.2">
      <c r="L91" s="114" t="s">
        <v>57</v>
      </c>
      <c r="M91" s="109">
        <v>114.137839627452</v>
      </c>
      <c r="N91" s="93">
        <v>1572</v>
      </c>
      <c r="O91" s="115">
        <v>24</v>
      </c>
    </row>
    <row r="92" spans="12:15" x14ac:dyDescent="0.2">
      <c r="L92" s="114" t="s">
        <v>113</v>
      </c>
      <c r="M92" s="109">
        <v>0.103982508182525</v>
      </c>
      <c r="N92" s="93">
        <v>82</v>
      </c>
      <c r="O92" s="115">
        <v>1</v>
      </c>
    </row>
    <row r="93" spans="12:15" x14ac:dyDescent="0.2">
      <c r="L93" s="114" t="s">
        <v>156</v>
      </c>
      <c r="M93" s="109">
        <v>3920.1151749258802</v>
      </c>
      <c r="N93" s="93">
        <v>627476</v>
      </c>
      <c r="O93" s="115">
        <v>9</v>
      </c>
    </row>
    <row r="94" spans="12:15" x14ac:dyDescent="0.2">
      <c r="L94" s="114" t="s">
        <v>96</v>
      </c>
      <c r="M94" s="109">
        <v>3444033.3911203998</v>
      </c>
      <c r="N94" s="93">
        <v>65744815</v>
      </c>
      <c r="O94" s="115">
        <v>3</v>
      </c>
    </row>
    <row r="95" spans="12:15" x14ac:dyDescent="0.2">
      <c r="L95" s="114" t="s">
        <v>114</v>
      </c>
      <c r="M95" s="109">
        <v>0.13212345913052501</v>
      </c>
      <c r="N95" s="93">
        <v>32</v>
      </c>
      <c r="O95" s="115">
        <v>3</v>
      </c>
    </row>
    <row r="96" spans="12:15" x14ac:dyDescent="0.2">
      <c r="L96" s="114" t="s">
        <v>97</v>
      </c>
      <c r="M96" s="109">
        <v>102.581513973884</v>
      </c>
      <c r="N96" s="93">
        <v>1461</v>
      </c>
      <c r="O96" s="115">
        <v>6</v>
      </c>
    </row>
    <row r="97" spans="12:15" x14ac:dyDescent="0.2">
      <c r="L97" s="114" t="s">
        <v>175</v>
      </c>
      <c r="M97" s="109">
        <v>1.5174876898527099E-4</v>
      </c>
      <c r="N97" s="93">
        <v>2</v>
      </c>
      <c r="O97" s="115">
        <v>2</v>
      </c>
    </row>
    <row r="98" spans="12:15" x14ac:dyDescent="0.2">
      <c r="L98" s="114" t="s">
        <v>115</v>
      </c>
      <c r="M98" s="109">
        <v>1.5277355890721001</v>
      </c>
      <c r="N98" s="93">
        <v>65</v>
      </c>
      <c r="O98" s="115">
        <v>6</v>
      </c>
    </row>
    <row r="99" spans="12:15" x14ac:dyDescent="0.2">
      <c r="L99" s="114" t="s">
        <v>98</v>
      </c>
      <c r="M99" s="109">
        <v>4.2175874114036499E-3</v>
      </c>
      <c r="N99" s="93">
        <v>8</v>
      </c>
      <c r="O99" s="115">
        <v>1</v>
      </c>
    </row>
    <row r="100" spans="12:15" x14ac:dyDescent="0.2">
      <c r="L100" s="114" t="s">
        <v>99</v>
      </c>
      <c r="M100" s="109">
        <v>0.3019218211993574</v>
      </c>
      <c r="N100" s="93">
        <v>202</v>
      </c>
      <c r="O100" s="115">
        <v>10</v>
      </c>
    </row>
    <row r="101" spans="12:15" x14ac:dyDescent="0.2">
      <c r="L101" s="114" t="s">
        <v>100</v>
      </c>
      <c r="M101" s="109">
        <v>0.28241378255188399</v>
      </c>
      <c r="N101" s="93">
        <v>114</v>
      </c>
      <c r="O101" s="115">
        <v>6</v>
      </c>
    </row>
    <row r="102" spans="12:15" x14ac:dyDescent="0.2">
      <c r="L102" s="114" t="s">
        <v>101</v>
      </c>
      <c r="M102" s="109">
        <v>4.1854428127408002E-3</v>
      </c>
      <c r="N102" s="93">
        <v>9</v>
      </c>
      <c r="O102" s="115">
        <v>1</v>
      </c>
    </row>
    <row r="103" spans="12:15" x14ac:dyDescent="0.2">
      <c r="L103" s="114" t="s">
        <v>58</v>
      </c>
      <c r="M103" s="109">
        <v>689.23556864354703</v>
      </c>
      <c r="N103" s="93">
        <v>657078</v>
      </c>
      <c r="O103" s="115">
        <v>17</v>
      </c>
    </row>
    <row r="104" spans="12:15" x14ac:dyDescent="0.2">
      <c r="L104" s="114" t="s">
        <v>59</v>
      </c>
      <c r="M104" s="109">
        <v>131633.87044193799</v>
      </c>
      <c r="N104" s="93">
        <v>33803998</v>
      </c>
      <c r="O104" s="115">
        <v>299</v>
      </c>
    </row>
    <row r="105" spans="12:15" x14ac:dyDescent="0.2">
      <c r="L105" s="114" t="s">
        <v>60</v>
      </c>
      <c r="M105" s="109">
        <v>2.8002075850963501E-5</v>
      </c>
      <c r="N105" s="93">
        <v>3</v>
      </c>
      <c r="O105" s="115">
        <v>1</v>
      </c>
    </row>
    <row r="106" spans="12:15" x14ac:dyDescent="0.2">
      <c r="L106" s="114" t="s">
        <v>102</v>
      </c>
      <c r="M106" s="109">
        <v>3.6186724901199297E-4</v>
      </c>
      <c r="N106" s="93">
        <v>25</v>
      </c>
      <c r="O106" s="115">
        <v>2</v>
      </c>
    </row>
    <row r="107" spans="12:15" x14ac:dyDescent="0.2">
      <c r="L107" s="114" t="s">
        <v>103</v>
      </c>
      <c r="M107" s="109">
        <v>671.20923090446695</v>
      </c>
      <c r="N107" s="93">
        <v>104822</v>
      </c>
      <c r="O107" s="115">
        <v>8</v>
      </c>
    </row>
    <row r="108" spans="12:15" ht="17" thickBot="1" x14ac:dyDescent="0.25">
      <c r="L108" s="114" t="s">
        <v>104</v>
      </c>
      <c r="M108" s="109">
        <v>0.29826920479536001</v>
      </c>
      <c r="N108" s="93">
        <v>103</v>
      </c>
      <c r="O108" s="115">
        <v>4</v>
      </c>
    </row>
    <row r="109" spans="12:15" ht="17" thickBot="1" x14ac:dyDescent="0.25">
      <c r="L109" s="127" t="s">
        <v>4</v>
      </c>
      <c r="M109" s="128">
        <f>SUM(M7:M108)</f>
        <v>3602126.4780226178</v>
      </c>
      <c r="N109" s="116">
        <f>SUM(N7:N108)</f>
        <v>107400939</v>
      </c>
      <c r="O109" s="117">
        <f>SUM(M109:N109)</f>
        <v>111003065.47802262</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4"/>
  <sheetViews>
    <sheetView zoomScale="118" zoomScaleNormal="100" workbookViewId="0"/>
  </sheetViews>
  <sheetFormatPr baseColWidth="10" defaultRowHeight="16" x14ac:dyDescent="0.2"/>
  <cols>
    <col min="2" max="2" width="18" customWidth="1"/>
    <col min="3" max="3" width="37.28515625" style="9" bestFit="1" customWidth="1"/>
    <col min="4" max="4" width="40.85546875" style="9" customWidth="1"/>
    <col min="5" max="5" width="18.140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71" t="s">
        <v>0</v>
      </c>
      <c r="C3" s="271"/>
      <c r="D3" s="271"/>
      <c r="E3" s="271"/>
      <c r="F3" s="271"/>
      <c r="G3" s="271"/>
      <c r="H3" s="90"/>
      <c r="I3" s="90"/>
      <c r="J3" s="90"/>
      <c r="K3" s="90"/>
      <c r="L3" s="90"/>
      <c r="M3" s="90"/>
      <c r="N3" s="90"/>
      <c r="O3" s="90"/>
    </row>
    <row r="4" spans="2:15" ht="18" x14ac:dyDescent="0.2">
      <c r="B4" s="264" t="s">
        <v>178</v>
      </c>
      <c r="C4" s="264"/>
      <c r="D4" s="264"/>
      <c r="E4" s="264"/>
      <c r="F4" s="264"/>
      <c r="G4" s="264"/>
    </row>
    <row r="5" spans="2:15" ht="17" thickBot="1" x14ac:dyDescent="0.25">
      <c r="B5" s="8"/>
      <c r="C5" s="6"/>
      <c r="D5" s="19"/>
    </row>
    <row r="6" spans="2:15" s="130" customFormat="1" ht="20" thickBot="1" x14ac:dyDescent="0.25">
      <c r="B6" s="146" t="s">
        <v>28</v>
      </c>
      <c r="C6" s="147" t="s">
        <v>29</v>
      </c>
      <c r="D6" s="148" t="s">
        <v>30</v>
      </c>
      <c r="E6" s="147" t="s">
        <v>179</v>
      </c>
      <c r="F6" s="147" t="s">
        <v>141</v>
      </c>
      <c r="G6" s="147" t="s">
        <v>142</v>
      </c>
      <c r="K6" s="149"/>
      <c r="L6" s="149"/>
    </row>
    <row r="7" spans="2:15" ht="52" thickBot="1" x14ac:dyDescent="0.25">
      <c r="B7" s="268" t="s">
        <v>1</v>
      </c>
      <c r="C7" s="154" t="s">
        <v>31</v>
      </c>
      <c r="D7" s="158" t="s">
        <v>32</v>
      </c>
      <c r="E7" s="160">
        <v>8.2467589527368502E-4</v>
      </c>
      <c r="F7" s="150">
        <v>3</v>
      </c>
      <c r="G7" s="151">
        <v>2</v>
      </c>
    </row>
    <row r="8" spans="2:15" ht="35" thickBot="1" x14ac:dyDescent="0.25">
      <c r="B8" s="268"/>
      <c r="C8" s="155" t="s">
        <v>33</v>
      </c>
      <c r="D8" s="162" t="s">
        <v>34</v>
      </c>
      <c r="E8" s="157">
        <v>3295208.3985782354</v>
      </c>
      <c r="F8" s="152">
        <v>14667527</v>
      </c>
      <c r="G8" s="153">
        <v>146</v>
      </c>
    </row>
    <row r="9" spans="2:15" ht="52" thickBot="1" x14ac:dyDescent="0.25">
      <c r="B9" s="268"/>
      <c r="C9" s="155" t="s">
        <v>35</v>
      </c>
      <c r="D9" s="161" t="s">
        <v>36</v>
      </c>
      <c r="E9" s="157">
        <v>4990.2447753502029</v>
      </c>
      <c r="F9" s="152">
        <v>33193</v>
      </c>
      <c r="G9" s="153">
        <v>9</v>
      </c>
    </row>
    <row r="10" spans="2:15" ht="52" thickBot="1" x14ac:dyDescent="0.25">
      <c r="B10" s="268"/>
      <c r="C10" s="155" t="s">
        <v>37</v>
      </c>
      <c r="D10" s="161" t="s">
        <v>38</v>
      </c>
      <c r="E10" s="157">
        <v>2.7834953740239123E-2</v>
      </c>
      <c r="F10" s="152">
        <v>3</v>
      </c>
      <c r="G10" s="153">
        <v>3</v>
      </c>
    </row>
    <row r="11" spans="2:15" ht="52" thickBot="1" x14ac:dyDescent="0.25">
      <c r="B11" s="268"/>
      <c r="C11" s="155" t="s">
        <v>39</v>
      </c>
      <c r="D11" s="161" t="s">
        <v>40</v>
      </c>
      <c r="E11" s="157">
        <v>228006.54118863301</v>
      </c>
      <c r="F11" s="152">
        <v>71892860</v>
      </c>
      <c r="G11" s="153">
        <v>522</v>
      </c>
    </row>
    <row r="12" spans="2:15" ht="52" thickBot="1" x14ac:dyDescent="0.25">
      <c r="B12" s="268"/>
      <c r="C12" s="155" t="s">
        <v>41</v>
      </c>
      <c r="D12" s="161" t="s">
        <v>42</v>
      </c>
      <c r="E12" s="157">
        <v>3094.2160436874237</v>
      </c>
      <c r="F12" s="152">
        <v>212078</v>
      </c>
      <c r="G12" s="153">
        <v>43</v>
      </c>
    </row>
    <row r="13" spans="2:15" ht="35" thickBot="1" x14ac:dyDescent="0.25">
      <c r="B13" s="268"/>
      <c r="C13" s="155" t="s">
        <v>136</v>
      </c>
      <c r="D13" s="161" t="s">
        <v>137</v>
      </c>
      <c r="E13" s="157">
        <v>1.6494682990014501E-2</v>
      </c>
      <c r="F13" s="152">
        <v>2</v>
      </c>
      <c r="G13" s="153">
        <v>1</v>
      </c>
    </row>
    <row r="14" spans="2:15" ht="35" thickBot="1" x14ac:dyDescent="0.25">
      <c r="B14" s="268"/>
      <c r="C14" s="155" t="s">
        <v>164</v>
      </c>
      <c r="D14" s="161" t="s">
        <v>166</v>
      </c>
      <c r="E14" s="157">
        <v>37990.40592504754</v>
      </c>
      <c r="F14" s="152">
        <v>171691</v>
      </c>
      <c r="G14" s="153">
        <v>183</v>
      </c>
    </row>
    <row r="15" spans="2:15" ht="35" thickBot="1" x14ac:dyDescent="0.25">
      <c r="B15" s="268"/>
      <c r="C15" s="156" t="s">
        <v>139</v>
      </c>
      <c r="D15" s="159" t="s">
        <v>140</v>
      </c>
      <c r="E15" s="168">
        <v>521.13168320245916</v>
      </c>
      <c r="F15" s="169">
        <v>9063</v>
      </c>
      <c r="G15" s="170">
        <v>277</v>
      </c>
    </row>
    <row r="16" spans="2:15" ht="35" thickBot="1" x14ac:dyDescent="0.25">
      <c r="B16" s="268" t="s">
        <v>2</v>
      </c>
      <c r="C16" s="154" t="s">
        <v>43</v>
      </c>
      <c r="D16" s="158" t="s">
        <v>44</v>
      </c>
      <c r="E16" s="160">
        <v>709.28804419562027</v>
      </c>
      <c r="F16" s="150">
        <v>991561</v>
      </c>
      <c r="G16" s="151">
        <v>14</v>
      </c>
    </row>
    <row r="17" spans="2:7" ht="35" thickBot="1" x14ac:dyDescent="0.25">
      <c r="B17" s="268"/>
      <c r="C17" s="156" t="s">
        <v>45</v>
      </c>
      <c r="D17" s="159" t="s">
        <v>46</v>
      </c>
      <c r="E17" s="168">
        <v>2009.3750306116365</v>
      </c>
      <c r="F17" s="169">
        <v>1764653</v>
      </c>
      <c r="G17" s="170">
        <v>5</v>
      </c>
    </row>
    <row r="18" spans="2:7" ht="52" thickBot="1" x14ac:dyDescent="0.25">
      <c r="B18" s="269" t="s">
        <v>3</v>
      </c>
      <c r="C18" s="252" t="s">
        <v>154</v>
      </c>
      <c r="D18" s="253" t="s">
        <v>155</v>
      </c>
      <c r="E18" s="165">
        <v>1.7421449087560099</v>
      </c>
      <c r="F18" s="166">
        <v>1</v>
      </c>
      <c r="G18" s="167">
        <v>1</v>
      </c>
    </row>
    <row r="19" spans="2:7" ht="35" thickBot="1" x14ac:dyDescent="0.25">
      <c r="B19" s="270"/>
      <c r="C19" s="155" t="s">
        <v>152</v>
      </c>
      <c r="D19" s="161" t="s">
        <v>153</v>
      </c>
      <c r="E19" s="165">
        <v>0.35467074997723103</v>
      </c>
      <c r="F19" s="166">
        <v>2</v>
      </c>
      <c r="G19" s="167">
        <v>1</v>
      </c>
    </row>
    <row r="20" spans="2:7" ht="52" thickBot="1" x14ac:dyDescent="0.25">
      <c r="B20" s="268"/>
      <c r="C20" s="163" t="s">
        <v>47</v>
      </c>
      <c r="D20" s="164" t="s">
        <v>48</v>
      </c>
      <c r="E20" s="165">
        <v>552.62122292257686</v>
      </c>
      <c r="F20" s="166">
        <v>823634</v>
      </c>
      <c r="G20" s="167">
        <v>65</v>
      </c>
    </row>
    <row r="21" spans="2:7" ht="35" thickBot="1" x14ac:dyDescent="0.25">
      <c r="B21" s="268"/>
      <c r="C21" s="155" t="s">
        <v>49</v>
      </c>
      <c r="D21" s="161" t="s">
        <v>50</v>
      </c>
      <c r="E21" s="157">
        <v>25467.430001731951</v>
      </c>
      <c r="F21" s="152">
        <v>9297169</v>
      </c>
      <c r="G21" s="153">
        <v>71</v>
      </c>
    </row>
    <row r="22" spans="2:7" ht="35" thickBot="1" x14ac:dyDescent="0.25">
      <c r="B22" s="268"/>
      <c r="C22" s="156" t="s">
        <v>127</v>
      </c>
      <c r="D22" s="159" t="s">
        <v>128</v>
      </c>
      <c r="E22" s="168">
        <v>3574.6835590293608</v>
      </c>
      <c r="F22" s="169">
        <v>7537499</v>
      </c>
      <c r="G22" s="170">
        <v>77</v>
      </c>
    </row>
    <row r="23" spans="2:7" ht="17" thickBot="1" x14ac:dyDescent="0.25">
      <c r="B23" s="46" t="s">
        <v>4</v>
      </c>
      <c r="C23" s="171"/>
      <c r="D23" s="24"/>
      <c r="E23" s="172">
        <f>SUM(E7:E22)</f>
        <v>3602126.4780226187</v>
      </c>
      <c r="F23" s="173">
        <f>SUM(F7:F22)</f>
        <v>107400939</v>
      </c>
      <c r="G23" s="174">
        <f>SUM(G7:G22)</f>
        <v>1420</v>
      </c>
    </row>
    <row r="24" spans="2:7" x14ac:dyDescent="0.2">
      <c r="B24" s="8"/>
      <c r="D24" s="19"/>
    </row>
    <row r="25" spans="2:7" x14ac:dyDescent="0.2">
      <c r="B25" s="8"/>
      <c r="C25" s="6"/>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row r="16382" spans="2:4" x14ac:dyDescent="0.2">
      <c r="B16382" s="8"/>
      <c r="C16382" s="6"/>
      <c r="D16382" s="19"/>
    </row>
    <row r="16383" spans="2:4" x14ac:dyDescent="0.2">
      <c r="B16383" s="8"/>
      <c r="C16383" s="6"/>
      <c r="D16383" s="19"/>
    </row>
    <row r="16384" spans="2:4" x14ac:dyDescent="0.2">
      <c r="B16384" s="8"/>
      <c r="C16384" s="6"/>
      <c r="D16384" s="19"/>
    </row>
  </sheetData>
  <mergeCells count="5">
    <mergeCell ref="B7:B15"/>
    <mergeCell ref="B16:B17"/>
    <mergeCell ref="B18:B22"/>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88"/>
  <sheetViews>
    <sheetView zoomScale="104" zoomScaleNormal="100" workbookViewId="0"/>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5.710937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65" t="s">
        <v>144</v>
      </c>
      <c r="C3" s="265"/>
      <c r="D3" s="265"/>
      <c r="E3" s="265"/>
      <c r="F3" s="265"/>
      <c r="G3" s="265"/>
      <c r="H3" s="91"/>
      <c r="I3" s="91"/>
    </row>
    <row r="4" spans="2:26" ht="18" x14ac:dyDescent="0.2">
      <c r="B4" s="264" t="s">
        <v>178</v>
      </c>
      <c r="C4" s="264"/>
      <c r="D4" s="264"/>
      <c r="E4" s="264"/>
      <c r="F4" s="264"/>
      <c r="G4" s="264"/>
      <c r="H4" s="181"/>
      <c r="I4" s="181"/>
    </row>
    <row r="5" spans="2:26" s="12" customFormat="1" ht="17" thickBot="1" x14ac:dyDescent="0.25">
      <c r="B5" s="10"/>
      <c r="C5" s="11"/>
      <c r="D5" s="7"/>
      <c r="E5" s="179"/>
      <c r="F5" s="180"/>
      <c r="G5" s="180"/>
    </row>
    <row r="6" spans="2:26" s="6" customFormat="1" ht="17" thickBot="1" x14ac:dyDescent="0.25">
      <c r="B6" s="66" t="s">
        <v>51</v>
      </c>
      <c r="C6" s="13" t="s">
        <v>28</v>
      </c>
      <c r="D6" s="21" t="s">
        <v>52</v>
      </c>
      <c r="E6" s="16" t="s">
        <v>179</v>
      </c>
      <c r="F6" s="176" t="s">
        <v>141</v>
      </c>
      <c r="G6" s="176" t="s">
        <v>142</v>
      </c>
    </row>
    <row r="7" spans="2:26" ht="17" thickBot="1" x14ac:dyDescent="0.25">
      <c r="B7" s="14" t="s">
        <v>22</v>
      </c>
      <c r="C7" s="67"/>
      <c r="D7" s="68"/>
      <c r="E7" s="65">
        <v>3470492.6075806799</v>
      </c>
      <c r="F7" s="61">
        <v>73596941</v>
      </c>
      <c r="G7" s="23">
        <v>903</v>
      </c>
      <c r="Z7" s="9"/>
    </row>
    <row r="8" spans="2:26" x14ac:dyDescent="0.2">
      <c r="B8" s="15"/>
      <c r="C8" s="72" t="s">
        <v>1</v>
      </c>
      <c r="D8" s="73"/>
      <c r="E8" s="85">
        <v>3466556.2399838469</v>
      </c>
      <c r="F8" s="88">
        <v>69422862</v>
      </c>
      <c r="G8" s="25">
        <v>768</v>
      </c>
      <c r="Z8" s="9"/>
    </row>
    <row r="9" spans="2:26" x14ac:dyDescent="0.2">
      <c r="B9" s="15"/>
      <c r="C9" s="74"/>
      <c r="D9" s="175" t="s">
        <v>33</v>
      </c>
      <c r="E9" s="29">
        <v>3278835.3421509131</v>
      </c>
      <c r="F9" s="20">
        <v>14297583</v>
      </c>
      <c r="G9" s="22">
        <v>64</v>
      </c>
      <c r="Z9" s="9"/>
    </row>
    <row r="10" spans="2:26" x14ac:dyDescent="0.2">
      <c r="B10" s="15"/>
      <c r="C10" s="74"/>
      <c r="D10" s="175" t="s">
        <v>35</v>
      </c>
      <c r="E10" s="29">
        <v>4063.2462825663374</v>
      </c>
      <c r="F10" s="20">
        <v>26607</v>
      </c>
      <c r="G10" s="22">
        <v>4</v>
      </c>
      <c r="Z10" s="9"/>
    </row>
    <row r="11" spans="2:26" x14ac:dyDescent="0.2">
      <c r="B11" s="15"/>
      <c r="C11" s="74"/>
      <c r="D11" s="175" t="s">
        <v>37</v>
      </c>
      <c r="E11" s="29">
        <v>1.8556635826826082E-2</v>
      </c>
      <c r="F11" s="20">
        <v>2</v>
      </c>
      <c r="G11" s="22">
        <v>2</v>
      </c>
      <c r="Z11" s="9"/>
    </row>
    <row r="12" spans="2:26" x14ac:dyDescent="0.2">
      <c r="B12" s="15"/>
      <c r="C12" s="74"/>
      <c r="D12" s="175" t="s">
        <v>39</v>
      </c>
      <c r="E12" s="29">
        <v>180614.58988268021</v>
      </c>
      <c r="F12" s="20">
        <v>55077638</v>
      </c>
      <c r="G12" s="22">
        <v>376</v>
      </c>
      <c r="Z12" s="9"/>
    </row>
    <row r="13" spans="2:26" x14ac:dyDescent="0.2">
      <c r="B13" s="15"/>
      <c r="C13" s="74"/>
      <c r="D13" s="175" t="s">
        <v>41</v>
      </c>
      <c r="E13" s="29">
        <v>22.857923874631513</v>
      </c>
      <c r="F13" s="20">
        <v>2647</v>
      </c>
      <c r="G13" s="22">
        <v>30</v>
      </c>
      <c r="Z13" s="9"/>
    </row>
    <row r="14" spans="2:26" x14ac:dyDescent="0.2">
      <c r="B14" s="15"/>
      <c r="C14" s="74"/>
      <c r="D14" s="175" t="s">
        <v>136</v>
      </c>
      <c r="E14" s="29">
        <v>2604.8307139258786</v>
      </c>
      <c r="F14" s="20">
        <v>13118</v>
      </c>
      <c r="G14" s="22">
        <v>75</v>
      </c>
      <c r="Z14" s="9"/>
    </row>
    <row r="15" spans="2:26" x14ac:dyDescent="0.2">
      <c r="B15" s="15"/>
      <c r="C15" s="74"/>
      <c r="D15" s="175" t="s">
        <v>139</v>
      </c>
      <c r="E15" s="29">
        <v>415.35447325091695</v>
      </c>
      <c r="F15" s="20">
        <v>5267</v>
      </c>
      <c r="G15" s="22">
        <v>217</v>
      </c>
      <c r="Z15" s="9"/>
    </row>
    <row r="16" spans="2:26" x14ac:dyDescent="0.2">
      <c r="B16" s="15"/>
      <c r="C16" s="76" t="s">
        <v>2</v>
      </c>
      <c r="D16" s="77"/>
      <c r="E16" s="214">
        <v>2718.3604920236321</v>
      </c>
      <c r="F16" s="215">
        <v>2755072</v>
      </c>
      <c r="G16" s="178">
        <v>12</v>
      </c>
      <c r="Z16" s="9"/>
    </row>
    <row r="17" spans="2:26" x14ac:dyDescent="0.2">
      <c r="B17" s="15"/>
      <c r="C17" s="74"/>
      <c r="D17" s="75" t="s">
        <v>43</v>
      </c>
      <c r="E17" s="29">
        <v>709.02121021318987</v>
      </c>
      <c r="F17" s="20">
        <v>990525</v>
      </c>
      <c r="G17" s="22">
        <v>8</v>
      </c>
      <c r="Z17" s="9"/>
    </row>
    <row r="18" spans="2:26" x14ac:dyDescent="0.2">
      <c r="B18" s="15"/>
      <c r="C18" s="74"/>
      <c r="D18" s="75" t="s">
        <v>45</v>
      </c>
      <c r="E18" s="29">
        <v>2009.3392818104423</v>
      </c>
      <c r="F18" s="20">
        <v>1764547</v>
      </c>
      <c r="G18" s="22">
        <v>4</v>
      </c>
      <c r="Z18" s="9"/>
    </row>
    <row r="19" spans="2:26" x14ac:dyDescent="0.2">
      <c r="B19" s="15"/>
      <c r="C19" s="76" t="s">
        <v>3</v>
      </c>
      <c r="D19" s="77"/>
      <c r="E19" s="214">
        <v>1218.0071048093939</v>
      </c>
      <c r="F19" s="215">
        <v>1419007</v>
      </c>
      <c r="G19" s="178">
        <v>123</v>
      </c>
      <c r="Z19" s="9"/>
    </row>
    <row r="20" spans="2:26" x14ac:dyDescent="0.2">
      <c r="B20" s="15"/>
      <c r="C20" s="74"/>
      <c r="D20" s="75" t="s">
        <v>152</v>
      </c>
      <c r="E20" s="29">
        <v>0.35467074997723103</v>
      </c>
      <c r="F20" s="20">
        <v>2</v>
      </c>
      <c r="G20" s="22">
        <v>1</v>
      </c>
      <c r="Z20" s="9"/>
    </row>
    <row r="21" spans="2:26" x14ac:dyDescent="0.2">
      <c r="B21" s="15"/>
      <c r="C21" s="74"/>
      <c r="D21" s="75" t="s">
        <v>47</v>
      </c>
      <c r="E21" s="29">
        <v>371.42177460156313</v>
      </c>
      <c r="F21" s="20">
        <v>135644</v>
      </c>
      <c r="G21" s="22">
        <v>41</v>
      </c>
      <c r="Z21" s="9"/>
    </row>
    <row r="22" spans="2:26" x14ac:dyDescent="0.2">
      <c r="B22" s="15"/>
      <c r="C22" s="74"/>
      <c r="D22" s="75" t="s">
        <v>49</v>
      </c>
      <c r="E22" s="29">
        <v>584.37032623495861</v>
      </c>
      <c r="F22" s="20">
        <v>360931</v>
      </c>
      <c r="G22" s="22">
        <v>35</v>
      </c>
      <c r="Z22" s="9"/>
    </row>
    <row r="23" spans="2:26" ht="17" thickBot="1" x14ac:dyDescent="0.25">
      <c r="B23" s="15"/>
      <c r="C23" s="78"/>
      <c r="D23" s="79" t="s">
        <v>127</v>
      </c>
      <c r="E23" s="30">
        <v>261.86033322289489</v>
      </c>
      <c r="F23" s="70">
        <v>922430</v>
      </c>
      <c r="G23" s="71">
        <v>46</v>
      </c>
      <c r="Z23" s="9"/>
    </row>
    <row r="24" spans="2:26" ht="17" thickBot="1" x14ac:dyDescent="0.25">
      <c r="B24" s="14" t="s">
        <v>23</v>
      </c>
      <c r="C24" s="80"/>
      <c r="D24" s="68"/>
      <c r="E24" s="65">
        <v>53481.633571688071</v>
      </c>
      <c r="F24" s="61">
        <v>25094760</v>
      </c>
      <c r="G24" s="23">
        <v>26</v>
      </c>
      <c r="Z24" s="9"/>
    </row>
    <row r="25" spans="2:26" x14ac:dyDescent="0.2">
      <c r="B25" s="15"/>
      <c r="C25" s="72" t="s">
        <v>1</v>
      </c>
      <c r="D25" s="73"/>
      <c r="E25" s="85">
        <v>25735.365588983514</v>
      </c>
      <c r="F25" s="88">
        <v>11414203</v>
      </c>
      <c r="G25" s="25">
        <v>20</v>
      </c>
      <c r="Z25" s="9"/>
    </row>
    <row r="26" spans="2:26" x14ac:dyDescent="0.2">
      <c r="B26" s="15"/>
      <c r="C26" s="81"/>
      <c r="D26" s="75" t="s">
        <v>33</v>
      </c>
      <c r="E26" s="63">
        <v>46.494946384802418</v>
      </c>
      <c r="F26" s="62">
        <v>296495</v>
      </c>
      <c r="G26" s="47">
        <v>3</v>
      </c>
      <c r="Z26" s="9"/>
    </row>
    <row r="27" spans="2:26" x14ac:dyDescent="0.2">
      <c r="B27" s="15"/>
      <c r="C27" s="81"/>
      <c r="D27" s="75" t="s">
        <v>39</v>
      </c>
      <c r="E27" s="63">
        <v>22373.229404951438</v>
      </c>
      <c r="F27" s="62">
        <v>10881436</v>
      </c>
      <c r="G27" s="47">
        <v>11</v>
      </c>
      <c r="Z27" s="9"/>
    </row>
    <row r="28" spans="2:26" x14ac:dyDescent="0.2">
      <c r="B28" s="15"/>
      <c r="C28" s="81"/>
      <c r="D28" s="75" t="s">
        <v>41</v>
      </c>
      <c r="E28" s="63">
        <v>3010.986423336899</v>
      </c>
      <c r="F28" s="62">
        <v>203497</v>
      </c>
      <c r="G28" s="47">
        <v>3</v>
      </c>
      <c r="Z28" s="9"/>
    </row>
    <row r="29" spans="2:26" x14ac:dyDescent="0.2">
      <c r="B29" s="15"/>
      <c r="C29" s="81"/>
      <c r="D29" s="75" t="s">
        <v>136</v>
      </c>
      <c r="E29" s="63">
        <v>304.65481431037102</v>
      </c>
      <c r="F29" s="62">
        <v>32775</v>
      </c>
      <c r="G29" s="47">
        <v>3</v>
      </c>
      <c r="Z29" s="9"/>
    </row>
    <row r="30" spans="2:26" x14ac:dyDescent="0.2">
      <c r="B30" s="15"/>
      <c r="C30" s="82" t="s">
        <v>3</v>
      </c>
      <c r="D30" s="177"/>
      <c r="E30" s="85">
        <v>27746.267982704554</v>
      </c>
      <c r="F30" s="88">
        <v>13680557</v>
      </c>
      <c r="G30" s="25">
        <v>6</v>
      </c>
      <c r="Z30" s="9"/>
    </row>
    <row r="31" spans="2:26" x14ac:dyDescent="0.2">
      <c r="B31" s="15"/>
      <c r="C31" s="208"/>
      <c r="D31" s="254" t="s">
        <v>49</v>
      </c>
      <c r="E31" s="211">
        <v>24589.830269092683</v>
      </c>
      <c r="F31" s="212">
        <v>7706323</v>
      </c>
      <c r="G31" s="255">
        <v>3</v>
      </c>
      <c r="H31" s="213"/>
      <c r="Z31" s="9"/>
    </row>
    <row r="32" spans="2:26" ht="17" thickBot="1" x14ac:dyDescent="0.25">
      <c r="B32" s="15"/>
      <c r="C32" s="83"/>
      <c r="D32" s="79" t="s">
        <v>127</v>
      </c>
      <c r="E32" s="64">
        <v>3156.4377136118701</v>
      </c>
      <c r="F32" s="59">
        <v>5974234</v>
      </c>
      <c r="G32" s="71">
        <v>3</v>
      </c>
      <c r="Z32" s="9"/>
    </row>
    <row r="33" spans="2:26" ht="17" thickBot="1" x14ac:dyDescent="0.25">
      <c r="B33" s="14" t="s">
        <v>24</v>
      </c>
      <c r="C33" s="80"/>
      <c r="D33" s="68"/>
      <c r="E33" s="65">
        <v>57903.729094709211</v>
      </c>
      <c r="F33" s="61">
        <v>4208424</v>
      </c>
      <c r="G33" s="23">
        <v>97</v>
      </c>
      <c r="Z33" s="9"/>
    </row>
    <row r="34" spans="2:26" x14ac:dyDescent="0.2">
      <c r="B34" s="15"/>
      <c r="C34" s="72" t="s">
        <v>1</v>
      </c>
      <c r="D34" s="73"/>
      <c r="E34" s="85">
        <v>57336.920957854891</v>
      </c>
      <c r="F34" s="88">
        <v>1857820</v>
      </c>
      <c r="G34" s="25">
        <v>73</v>
      </c>
      <c r="Z34" s="9"/>
    </row>
    <row r="35" spans="2:26" x14ac:dyDescent="0.2">
      <c r="B35" s="15"/>
      <c r="C35" s="74"/>
      <c r="D35" s="75" t="s">
        <v>33</v>
      </c>
      <c r="E35" s="48">
        <v>16258.977892183688</v>
      </c>
      <c r="F35" s="58">
        <v>68356</v>
      </c>
      <c r="G35" s="22">
        <v>17</v>
      </c>
      <c r="Z35" s="9"/>
    </row>
    <row r="36" spans="2:26" x14ac:dyDescent="0.2">
      <c r="B36" s="15"/>
      <c r="C36" s="74"/>
      <c r="D36" s="75" t="s">
        <v>35</v>
      </c>
      <c r="E36" s="48">
        <v>903.18872121628272</v>
      </c>
      <c r="F36" s="58">
        <v>6397</v>
      </c>
      <c r="G36" s="22">
        <v>3</v>
      </c>
      <c r="Z36" s="9"/>
    </row>
    <row r="37" spans="2:26" x14ac:dyDescent="0.2">
      <c r="B37" s="15"/>
      <c r="C37" s="74"/>
      <c r="D37" s="75" t="s">
        <v>39</v>
      </c>
      <c r="E37" s="48">
        <v>9710.2905593756514</v>
      </c>
      <c r="F37" s="58">
        <v>1679167</v>
      </c>
      <c r="G37" s="22">
        <v>22</v>
      </c>
      <c r="Z37" s="9"/>
    </row>
    <row r="38" spans="2:26" x14ac:dyDescent="0.2">
      <c r="B38" s="15"/>
      <c r="C38" s="74"/>
      <c r="D38" s="75" t="s">
        <v>41</v>
      </c>
      <c r="E38" s="48">
        <v>54.475226555950897</v>
      </c>
      <c r="F38" s="58">
        <v>5080</v>
      </c>
      <c r="G38" s="22">
        <v>4</v>
      </c>
      <c r="Z38" s="9"/>
    </row>
    <row r="39" spans="2:26" x14ac:dyDescent="0.2">
      <c r="B39" s="15"/>
      <c r="C39" s="74"/>
      <c r="D39" s="75" t="s">
        <v>200</v>
      </c>
      <c r="E39" s="48">
        <v>1.6494682990014501E-2</v>
      </c>
      <c r="F39" s="58">
        <v>2</v>
      </c>
      <c r="G39" s="22">
        <v>1</v>
      </c>
      <c r="Z39" s="9"/>
    </row>
    <row r="40" spans="2:26" x14ac:dyDescent="0.2">
      <c r="B40" s="15"/>
      <c r="C40" s="74"/>
      <c r="D40" s="75" t="s">
        <v>136</v>
      </c>
      <c r="E40" s="48">
        <v>30315.863467150331</v>
      </c>
      <c r="F40" s="58">
        <v>98352</v>
      </c>
      <c r="G40" s="22">
        <v>21</v>
      </c>
      <c r="Z40" s="9"/>
    </row>
    <row r="41" spans="2:26" x14ac:dyDescent="0.2">
      <c r="B41" s="15"/>
      <c r="C41" s="74"/>
      <c r="D41" s="75" t="s">
        <v>139</v>
      </c>
      <c r="E41" s="48">
        <v>94.10859668999899</v>
      </c>
      <c r="F41" s="58">
        <v>466</v>
      </c>
      <c r="G41" s="22">
        <v>5</v>
      </c>
      <c r="Z41" s="9"/>
    </row>
    <row r="42" spans="2:26" x14ac:dyDescent="0.2">
      <c r="B42" s="15"/>
      <c r="C42" s="76" t="s">
        <v>2</v>
      </c>
      <c r="D42" s="73"/>
      <c r="E42" s="85">
        <v>0.17895806115120561</v>
      </c>
      <c r="F42" s="88">
        <v>263</v>
      </c>
      <c r="G42" s="25">
        <v>2</v>
      </c>
      <c r="Z42" s="9"/>
    </row>
    <row r="43" spans="2:26" x14ac:dyDescent="0.2">
      <c r="B43" s="15"/>
      <c r="C43" s="74"/>
      <c r="D43" s="75" t="s">
        <v>43</v>
      </c>
      <c r="E43" s="48">
        <v>0.17895806115120561</v>
      </c>
      <c r="F43" s="58">
        <v>263</v>
      </c>
      <c r="G43" s="22">
        <v>2</v>
      </c>
      <c r="Z43" s="9"/>
    </row>
    <row r="44" spans="2:26" x14ac:dyDescent="0.2">
      <c r="B44" s="15"/>
      <c r="C44" s="76" t="s">
        <v>3</v>
      </c>
      <c r="D44" s="73"/>
      <c r="E44" s="69">
        <v>566.62917879316751</v>
      </c>
      <c r="F44" s="87">
        <v>2350341</v>
      </c>
      <c r="G44" s="26">
        <v>22</v>
      </c>
      <c r="Z44" s="9"/>
    </row>
    <row r="45" spans="2:26" x14ac:dyDescent="0.2">
      <c r="B45" s="15"/>
      <c r="C45" s="76"/>
      <c r="D45" s="73" t="s">
        <v>47</v>
      </c>
      <c r="E45" s="69">
        <v>170.64981126133262</v>
      </c>
      <c r="F45" s="87">
        <v>680128</v>
      </c>
      <c r="G45" s="26">
        <v>6</v>
      </c>
      <c r="Z45" s="9"/>
    </row>
    <row r="46" spans="2:26" x14ac:dyDescent="0.2">
      <c r="B46" s="15"/>
      <c r="C46" s="74"/>
      <c r="D46" s="75" t="s">
        <v>49</v>
      </c>
      <c r="E46" s="209">
        <v>278.43559180851946</v>
      </c>
      <c r="F46" s="210">
        <v>1212131</v>
      </c>
      <c r="G46" s="47">
        <v>7</v>
      </c>
      <c r="Z46" s="9"/>
    </row>
    <row r="47" spans="2:26" ht="17" thickBot="1" x14ac:dyDescent="0.25">
      <c r="B47" s="15"/>
      <c r="C47" s="78"/>
      <c r="D47" s="79" t="s">
        <v>127</v>
      </c>
      <c r="E47" s="64">
        <v>117.54377572331539</v>
      </c>
      <c r="F47" s="59">
        <v>458082</v>
      </c>
      <c r="G47" s="71">
        <v>9</v>
      </c>
      <c r="Z47" s="9"/>
    </row>
    <row r="48" spans="2:26" ht="17" thickBot="1" x14ac:dyDescent="0.25">
      <c r="B48" s="14" t="s">
        <v>25</v>
      </c>
      <c r="C48" s="80"/>
      <c r="D48" s="68"/>
      <c r="E48" s="65">
        <v>16366.543494596091</v>
      </c>
      <c r="F48" s="61">
        <v>4381384</v>
      </c>
      <c r="G48" s="23">
        <v>67</v>
      </c>
      <c r="Z48" s="9"/>
    </row>
    <row r="49" spans="2:26" x14ac:dyDescent="0.2">
      <c r="B49" s="15"/>
      <c r="C49" s="72" t="s">
        <v>1</v>
      </c>
      <c r="D49" s="73"/>
      <c r="E49" s="85">
        <v>16304.419021327925</v>
      </c>
      <c r="F49" s="88">
        <v>4200029</v>
      </c>
      <c r="G49" s="25">
        <v>34</v>
      </c>
      <c r="Z49" s="9"/>
    </row>
    <row r="50" spans="2:26" x14ac:dyDescent="0.2">
      <c r="B50" s="15"/>
      <c r="C50" s="76"/>
      <c r="D50" s="84" t="s">
        <v>33</v>
      </c>
      <c r="E50" s="48">
        <v>66.551067437976556</v>
      </c>
      <c r="F50" s="58">
        <v>508</v>
      </c>
      <c r="G50" s="22">
        <v>4</v>
      </c>
      <c r="Z50" s="9"/>
    </row>
    <row r="51" spans="2:26" x14ac:dyDescent="0.2">
      <c r="B51" s="15"/>
      <c r="C51" s="76"/>
      <c r="D51" s="84" t="s">
        <v>35</v>
      </c>
      <c r="E51" s="48">
        <v>23.809771567582999</v>
      </c>
      <c r="F51" s="58">
        <v>189</v>
      </c>
      <c r="G51" s="22">
        <v>2</v>
      </c>
      <c r="Z51" s="9"/>
    </row>
    <row r="52" spans="2:26" x14ac:dyDescent="0.2">
      <c r="B52" s="15"/>
      <c r="C52" s="76"/>
      <c r="D52" s="84" t="s">
        <v>39</v>
      </c>
      <c r="E52" s="48">
        <v>14862.37002753368</v>
      </c>
      <c r="F52" s="58">
        <v>4194480</v>
      </c>
      <c r="G52" s="22">
        <v>13</v>
      </c>
      <c r="Z52" s="9"/>
    </row>
    <row r="53" spans="2:26" x14ac:dyDescent="0.2">
      <c r="B53" s="15"/>
      <c r="C53" s="74"/>
      <c r="D53" s="84" t="s">
        <v>41</v>
      </c>
      <c r="E53" s="48">
        <v>4.4972539879381601E-2</v>
      </c>
      <c r="F53" s="58">
        <v>3</v>
      </c>
      <c r="G53" s="22">
        <v>1</v>
      </c>
      <c r="Z53" s="9"/>
    </row>
    <row r="54" spans="2:26" x14ac:dyDescent="0.2">
      <c r="B54" s="15"/>
      <c r="C54" s="74"/>
      <c r="D54" s="84" t="s">
        <v>136</v>
      </c>
      <c r="E54" s="48">
        <v>1343.4873033035535</v>
      </c>
      <c r="F54" s="58">
        <v>4845</v>
      </c>
      <c r="G54" s="22">
        <v>13</v>
      </c>
      <c r="Z54" s="9"/>
    </row>
    <row r="55" spans="2:26" x14ac:dyDescent="0.2">
      <c r="B55" s="15"/>
      <c r="C55" s="74"/>
      <c r="D55" s="84" t="s">
        <v>139</v>
      </c>
      <c r="E55" s="48">
        <v>8.1558789452537805</v>
      </c>
      <c r="F55" s="58">
        <v>4</v>
      </c>
      <c r="G55" s="22">
        <v>1</v>
      </c>
      <c r="Z55" s="9"/>
    </row>
    <row r="56" spans="2:26" x14ac:dyDescent="0.2">
      <c r="B56" s="15"/>
      <c r="C56" s="76" t="s">
        <v>2</v>
      </c>
      <c r="D56" s="73"/>
      <c r="E56" s="85">
        <v>8.88074375689029E-3</v>
      </c>
      <c r="F56" s="88">
        <v>28</v>
      </c>
      <c r="G56" s="25">
        <v>1</v>
      </c>
      <c r="Z56" s="9"/>
    </row>
    <row r="57" spans="2:26" x14ac:dyDescent="0.2">
      <c r="B57" s="15"/>
      <c r="C57" s="76"/>
      <c r="D57" s="73" t="s">
        <v>43</v>
      </c>
      <c r="E57" s="85">
        <v>8.88074375689029E-3</v>
      </c>
      <c r="F57" s="88">
        <v>28</v>
      </c>
      <c r="G57" s="25">
        <v>1</v>
      </c>
      <c r="Z57" s="9"/>
    </row>
    <row r="58" spans="2:26" x14ac:dyDescent="0.2">
      <c r="B58" s="15"/>
      <c r="C58" s="76" t="s">
        <v>3</v>
      </c>
      <c r="D58" s="73"/>
      <c r="E58" s="85">
        <v>62.11559252440918</v>
      </c>
      <c r="F58" s="88">
        <v>181327</v>
      </c>
      <c r="G58" s="25">
        <v>32</v>
      </c>
      <c r="Z58" s="9"/>
    </row>
    <row r="59" spans="2:26" x14ac:dyDescent="0.2">
      <c r="B59" s="15"/>
      <c r="C59" s="74"/>
      <c r="D59" t="s">
        <v>154</v>
      </c>
      <c r="E59" s="48">
        <v>1.7421449087560099</v>
      </c>
      <c r="F59" s="58">
        <v>1</v>
      </c>
      <c r="G59" s="22">
        <v>1</v>
      </c>
      <c r="Z59" s="9"/>
    </row>
    <row r="60" spans="2:26" x14ac:dyDescent="0.2">
      <c r="B60" s="15"/>
      <c r="C60" s="74"/>
      <c r="D60" s="175" t="s">
        <v>152</v>
      </c>
      <c r="E60" s="48">
        <v>10.530822094529857</v>
      </c>
      <c r="F60" s="58">
        <v>7188</v>
      </c>
      <c r="G60" s="22">
        <v>11</v>
      </c>
      <c r="Z60" s="9"/>
    </row>
    <row r="61" spans="2:26" x14ac:dyDescent="0.2">
      <c r="B61" s="15"/>
      <c r="C61" s="74"/>
      <c r="D61" s="75" t="s">
        <v>49</v>
      </c>
      <c r="E61" s="48">
        <v>13.026127387769506</v>
      </c>
      <c r="F61" s="58">
        <v>7766</v>
      </c>
      <c r="G61" s="22">
        <v>14</v>
      </c>
      <c r="Z61" s="9"/>
    </row>
    <row r="62" spans="2:26" ht="17" thickBot="1" x14ac:dyDescent="0.25">
      <c r="B62" s="15"/>
      <c r="C62" s="78"/>
      <c r="D62" s="79" t="s">
        <v>127</v>
      </c>
      <c r="E62" s="64">
        <v>36.816498133353811</v>
      </c>
      <c r="F62" s="59">
        <v>166372</v>
      </c>
      <c r="G62" s="71">
        <v>6</v>
      </c>
      <c r="Z62" s="9"/>
    </row>
    <row r="63" spans="2:26" ht="17" thickBot="1" x14ac:dyDescent="0.25">
      <c r="B63" s="14" t="s">
        <v>26</v>
      </c>
      <c r="C63" s="80"/>
      <c r="D63" s="68"/>
      <c r="E63" s="65">
        <v>4.8666429361328385</v>
      </c>
      <c r="F63" s="61">
        <v>12228</v>
      </c>
      <c r="G63" s="23">
        <v>9</v>
      </c>
      <c r="Z63" s="9"/>
    </row>
    <row r="64" spans="2:26" x14ac:dyDescent="0.2">
      <c r="B64" s="260"/>
      <c r="C64" s="76" t="s">
        <v>1</v>
      </c>
      <c r="D64" s="73"/>
      <c r="E64" s="85">
        <v>1.3958612466230984</v>
      </c>
      <c r="F64" s="88">
        <v>39</v>
      </c>
      <c r="G64" s="25">
        <v>4</v>
      </c>
      <c r="Z64" s="9"/>
    </row>
    <row r="65" spans="2:26" x14ac:dyDescent="0.2">
      <c r="B65" s="260"/>
      <c r="C65" s="76"/>
      <c r="D65" s="73" t="s">
        <v>33</v>
      </c>
      <c r="E65" s="85">
        <v>0.71878856979310501</v>
      </c>
      <c r="F65" s="88">
        <v>3</v>
      </c>
      <c r="G65" s="25">
        <v>1</v>
      </c>
      <c r="Z65" s="9"/>
    </row>
    <row r="66" spans="2:26" x14ac:dyDescent="0.2">
      <c r="B66" s="260"/>
      <c r="C66" s="76"/>
      <c r="D66" s="73" t="s">
        <v>39</v>
      </c>
      <c r="E66" s="85">
        <v>3.77977024763822E-2</v>
      </c>
      <c r="F66" s="88">
        <v>22</v>
      </c>
      <c r="G66" s="25">
        <v>1</v>
      </c>
      <c r="Z66" s="9"/>
    </row>
    <row r="67" spans="2:26" x14ac:dyDescent="0.2">
      <c r="B67" s="260"/>
      <c r="C67" s="74"/>
      <c r="D67" s="75" t="s">
        <v>41</v>
      </c>
      <c r="E67" s="48">
        <v>5.9994374401867299E-2</v>
      </c>
      <c r="F67" s="58">
        <v>12</v>
      </c>
      <c r="G67" s="22">
        <v>1</v>
      </c>
      <c r="Z67" s="9"/>
    </row>
    <row r="68" spans="2:26" x14ac:dyDescent="0.2">
      <c r="B68" s="260"/>
      <c r="C68" s="74"/>
      <c r="D68" s="75" t="s">
        <v>136</v>
      </c>
      <c r="E68" s="48">
        <v>0.57928059995174397</v>
      </c>
      <c r="F68" s="58">
        <v>2</v>
      </c>
      <c r="G68" s="22">
        <v>1</v>
      </c>
      <c r="Z68" s="9"/>
    </row>
    <row r="69" spans="2:26" x14ac:dyDescent="0.2">
      <c r="B69" s="15"/>
      <c r="C69" s="76" t="s">
        <v>3</v>
      </c>
      <c r="D69" s="73"/>
      <c r="E69" s="85">
        <v>3.4707816895097396</v>
      </c>
      <c r="F69" s="88">
        <v>12189</v>
      </c>
      <c r="G69" s="25">
        <v>5</v>
      </c>
      <c r="Z69" s="9"/>
    </row>
    <row r="70" spans="2:26" x14ac:dyDescent="0.2">
      <c r="B70" s="15"/>
      <c r="C70" s="74"/>
      <c r="D70" s="75" t="s">
        <v>49</v>
      </c>
      <c r="E70" s="48">
        <v>1.630938287824391</v>
      </c>
      <c r="F70" s="58">
        <v>3923</v>
      </c>
      <c r="G70" s="22">
        <v>3</v>
      </c>
      <c r="Z70" s="9"/>
    </row>
    <row r="71" spans="2:26" ht="17" thickBot="1" x14ac:dyDescent="0.25">
      <c r="B71" s="15"/>
      <c r="C71" s="74"/>
      <c r="D71" s="75" t="s">
        <v>127</v>
      </c>
      <c r="E71" s="48">
        <v>1.8398434016853489</v>
      </c>
      <c r="F71" s="58">
        <v>8266</v>
      </c>
      <c r="G71" s="22">
        <v>2</v>
      </c>
      <c r="Z71" s="9"/>
    </row>
    <row r="72" spans="2:26" ht="17" thickBot="1" x14ac:dyDescent="0.25">
      <c r="B72" s="14" t="s">
        <v>27</v>
      </c>
      <c r="C72" s="80"/>
      <c r="D72" s="68"/>
      <c r="E72" s="65">
        <v>3877.097638009107</v>
      </c>
      <c r="F72" s="61">
        <v>107202</v>
      </c>
      <c r="G72" s="23">
        <v>318</v>
      </c>
      <c r="Z72" s="9"/>
    </row>
    <row r="73" spans="2:26" x14ac:dyDescent="0.2">
      <c r="B73" s="15"/>
      <c r="C73" s="72" t="s">
        <v>1</v>
      </c>
      <c r="D73" s="73"/>
      <c r="E73" s="85">
        <v>3876.6419352088033</v>
      </c>
      <c r="F73" s="88">
        <v>91467</v>
      </c>
      <c r="G73" s="25">
        <v>287</v>
      </c>
      <c r="Z73" s="9"/>
    </row>
    <row r="74" spans="2:26" x14ac:dyDescent="0.2">
      <c r="B74" s="15"/>
      <c r="C74" s="74"/>
      <c r="D74" s="75" t="s">
        <v>31</v>
      </c>
      <c r="E74" s="48">
        <v>8.2467589527368502E-4</v>
      </c>
      <c r="F74" s="58">
        <v>3</v>
      </c>
      <c r="G74" s="22">
        <v>2</v>
      </c>
      <c r="Z74" s="9"/>
    </row>
    <row r="75" spans="2:26" x14ac:dyDescent="0.2">
      <c r="B75" s="15"/>
      <c r="C75" s="74"/>
      <c r="D75" s="75" t="s">
        <v>33</v>
      </c>
      <c r="E75" s="48">
        <v>0.31373274605721202</v>
      </c>
      <c r="F75" s="58">
        <v>4582</v>
      </c>
      <c r="G75" s="22">
        <v>57</v>
      </c>
      <c r="Z75" s="9"/>
    </row>
    <row r="76" spans="2:26" x14ac:dyDescent="0.2">
      <c r="B76" s="15"/>
      <c r="C76" s="74"/>
      <c r="D76" s="75" t="s">
        <v>37</v>
      </c>
      <c r="E76" s="48">
        <v>9.2783179134130409E-3</v>
      </c>
      <c r="F76" s="58">
        <v>1</v>
      </c>
      <c r="G76" s="22">
        <v>1</v>
      </c>
      <c r="Z76" s="9"/>
    </row>
    <row r="77" spans="2:26" x14ac:dyDescent="0.2">
      <c r="B77" s="15"/>
      <c r="C77" s="74"/>
      <c r="D77" s="75" t="s">
        <v>39</v>
      </c>
      <c r="E77" s="48">
        <v>446.02351638954076</v>
      </c>
      <c r="F77" s="58">
        <v>60117</v>
      </c>
      <c r="G77" s="22">
        <v>99</v>
      </c>
      <c r="Z77" s="9"/>
    </row>
    <row r="78" spans="2:26" x14ac:dyDescent="0.2">
      <c r="B78" s="15"/>
      <c r="C78" s="74"/>
      <c r="D78" s="75" t="s">
        <v>41</v>
      </c>
      <c r="E78" s="48">
        <v>5.7915030056610703</v>
      </c>
      <c r="F78" s="58">
        <v>839</v>
      </c>
      <c r="G78" s="22">
        <v>4</v>
      </c>
      <c r="Z78" s="9"/>
    </row>
    <row r="79" spans="2:26" x14ac:dyDescent="0.2">
      <c r="B79" s="15"/>
      <c r="C79" s="74"/>
      <c r="D79" s="75" t="s">
        <v>136</v>
      </c>
      <c r="E79" s="48">
        <v>3420.990345757446</v>
      </c>
      <c r="F79" s="58">
        <v>22599</v>
      </c>
      <c r="G79" s="22">
        <v>70</v>
      </c>
      <c r="Z79" s="9"/>
    </row>
    <row r="80" spans="2:26" x14ac:dyDescent="0.2">
      <c r="B80" s="15"/>
      <c r="C80" s="74"/>
      <c r="D80" s="75" t="s">
        <v>139</v>
      </c>
      <c r="E80" s="48">
        <v>3.51273431628942</v>
      </c>
      <c r="F80" s="58">
        <v>3326</v>
      </c>
      <c r="G80" s="22">
        <v>54</v>
      </c>
      <c r="Z80" s="9"/>
    </row>
    <row r="81" spans="2:26" x14ac:dyDescent="0.2">
      <c r="B81" s="15"/>
      <c r="C81" s="76" t="s">
        <v>2</v>
      </c>
      <c r="D81" s="73"/>
      <c r="E81" s="85">
        <v>0.11474397871643291</v>
      </c>
      <c r="F81" s="88">
        <v>851</v>
      </c>
      <c r="G81" s="25">
        <v>4</v>
      </c>
      <c r="Z81" s="9"/>
    </row>
    <row r="82" spans="2:26" x14ac:dyDescent="0.2">
      <c r="B82" s="15"/>
      <c r="C82" s="74"/>
      <c r="D82" s="75" t="s">
        <v>43</v>
      </c>
      <c r="E82" s="48">
        <v>7.8995177522301605E-2</v>
      </c>
      <c r="F82" s="58">
        <v>745</v>
      </c>
      <c r="G82" s="22">
        <v>3</v>
      </c>
      <c r="Z82" s="9"/>
    </row>
    <row r="83" spans="2:26" x14ac:dyDescent="0.2">
      <c r="B83" s="15"/>
      <c r="C83" s="74"/>
      <c r="D83" s="75" t="s">
        <v>45</v>
      </c>
      <c r="E83" s="48">
        <v>3.5748801194131298E-2</v>
      </c>
      <c r="F83" s="58">
        <v>106</v>
      </c>
      <c r="G83" s="22">
        <v>1</v>
      </c>
      <c r="Z83" s="9"/>
    </row>
    <row r="84" spans="2:26" x14ac:dyDescent="0.2">
      <c r="B84" s="15"/>
      <c r="C84" s="76" t="s">
        <v>3</v>
      </c>
      <c r="D84" s="73"/>
      <c r="E84" s="85">
        <v>0.34095882158726332</v>
      </c>
      <c r="F84" s="88">
        <v>14884</v>
      </c>
      <c r="G84" s="25">
        <v>27</v>
      </c>
      <c r="Z84" s="9"/>
    </row>
    <row r="85" spans="2:26" x14ac:dyDescent="0.2">
      <c r="B85" s="15"/>
      <c r="C85" s="74"/>
      <c r="D85" s="75" t="s">
        <v>47</v>
      </c>
      <c r="E85" s="48">
        <v>1.88149651512503E-2</v>
      </c>
      <c r="F85" s="58">
        <v>674</v>
      </c>
      <c r="G85" s="22">
        <v>7</v>
      </c>
      <c r="Z85" s="9"/>
    </row>
    <row r="86" spans="2:26" x14ac:dyDescent="0.2">
      <c r="B86" s="15"/>
      <c r="C86" s="74"/>
      <c r="D86" s="75" t="s">
        <v>49</v>
      </c>
      <c r="E86" s="48">
        <v>0.136748920194804</v>
      </c>
      <c r="F86" s="58">
        <v>6095</v>
      </c>
      <c r="G86" s="22">
        <v>9</v>
      </c>
      <c r="Z86" s="9"/>
    </row>
    <row r="87" spans="2:26" ht="17" thickBot="1" x14ac:dyDescent="0.25">
      <c r="B87" s="15"/>
      <c r="C87" s="74"/>
      <c r="D87" s="75" t="s">
        <v>127</v>
      </c>
      <c r="E87" s="49">
        <v>0.18539493624120901</v>
      </c>
      <c r="F87" s="60">
        <v>8115</v>
      </c>
      <c r="G87" s="22">
        <v>11</v>
      </c>
      <c r="Z87" s="9"/>
    </row>
    <row r="88" spans="2:26" ht="17" thickBot="1" x14ac:dyDescent="0.25">
      <c r="B88" s="16" t="s">
        <v>4</v>
      </c>
      <c r="C88" s="17"/>
      <c r="D88" s="57"/>
      <c r="E88" s="65">
        <v>3602126.4780226187</v>
      </c>
      <c r="F88" s="61">
        <v>107400939</v>
      </c>
      <c r="G88" s="23">
        <v>1420</v>
      </c>
      <c r="Z88" s="9"/>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BEBD-48A7-0D4B-A3BB-D9BDC2822F37}">
  <dimension ref="B1:AO349"/>
  <sheetViews>
    <sheetView workbookViewId="0"/>
  </sheetViews>
  <sheetFormatPr baseColWidth="10" defaultRowHeight="16" x14ac:dyDescent="0.2"/>
  <cols>
    <col min="3" max="3" width="38.5703125" bestFit="1" customWidth="1"/>
    <col min="4" max="4" width="19.7109375" bestFit="1" customWidth="1"/>
    <col min="5" max="5" width="16.7109375" style="227" bestFit="1" customWidth="1"/>
    <col min="6" max="6" width="14.7109375" style="217" bestFit="1" customWidth="1"/>
    <col min="7" max="7" width="10.85546875" style="217" bestFit="1" customWidth="1"/>
  </cols>
  <sheetData>
    <row r="1" spans="2:41" s="9" customFormat="1" x14ac:dyDescent="0.2">
      <c r="B1" s="8"/>
      <c r="E1" s="31"/>
      <c r="F1" s="27"/>
      <c r="G1" s="27"/>
      <c r="I1" s="6"/>
      <c r="AO1" s="31"/>
    </row>
    <row r="2" spans="2:41" s="9" customFormat="1" x14ac:dyDescent="0.2">
      <c r="B2" s="8"/>
      <c r="E2" s="31"/>
      <c r="F2" s="27"/>
      <c r="G2" s="27"/>
      <c r="I2" s="6"/>
      <c r="AO2" s="31"/>
    </row>
    <row r="3" spans="2:41" s="9" customFormat="1" ht="23" x14ac:dyDescent="0.2">
      <c r="B3" s="272" t="s">
        <v>145</v>
      </c>
      <c r="C3" s="272"/>
      <c r="D3" s="272"/>
      <c r="E3" s="272"/>
      <c r="F3" s="272"/>
      <c r="G3" s="272"/>
      <c r="H3" s="91"/>
      <c r="I3" s="92"/>
      <c r="J3" s="91"/>
      <c r="K3" s="91"/>
      <c r="L3" s="91"/>
      <c r="M3" s="91"/>
      <c r="N3" s="91"/>
      <c r="O3" s="91"/>
      <c r="AO3" s="31"/>
    </row>
    <row r="4" spans="2:41" s="9" customFormat="1" ht="18" x14ac:dyDescent="0.2">
      <c r="B4" s="264" t="s">
        <v>178</v>
      </c>
      <c r="C4" s="264"/>
      <c r="D4" s="264"/>
      <c r="E4" s="264"/>
      <c r="F4" s="264"/>
      <c r="G4" s="264"/>
      <c r="I4" s="6"/>
      <c r="AO4" s="31"/>
    </row>
    <row r="5" spans="2:41" s="9" customFormat="1" x14ac:dyDescent="0.2">
      <c r="B5" s="6"/>
      <c r="E5" s="31"/>
      <c r="F5" s="27"/>
      <c r="G5" s="27"/>
      <c r="AH5" s="31"/>
    </row>
    <row r="6" spans="2:41" s="12" customFormat="1" ht="17" thickBot="1" x14ac:dyDescent="0.25">
      <c r="E6" s="225"/>
      <c r="F6" s="216"/>
      <c r="G6" s="216"/>
    </row>
    <row r="7" spans="2:41" s="6" customFormat="1" ht="17" thickBot="1" x14ac:dyDescent="0.25">
      <c r="B7" s="5" t="s">
        <v>28</v>
      </c>
      <c r="C7" s="182" t="s">
        <v>52</v>
      </c>
      <c r="D7" s="86" t="s">
        <v>53</v>
      </c>
      <c r="E7" s="226" t="s">
        <v>179</v>
      </c>
      <c r="F7" s="176" t="s">
        <v>141</v>
      </c>
      <c r="G7" s="176" t="s">
        <v>142</v>
      </c>
    </row>
    <row r="8" spans="2:41" s="9" customFormat="1" ht="17" thickBot="1" x14ac:dyDescent="0.25">
      <c r="B8" s="184" t="s">
        <v>1</v>
      </c>
      <c r="C8" s="185"/>
      <c r="D8" s="185"/>
      <c r="E8" s="240">
        <v>3569810.9833484688</v>
      </c>
      <c r="F8" s="241">
        <v>86986420</v>
      </c>
      <c r="G8" s="242">
        <v>1186</v>
      </c>
    </row>
    <row r="9" spans="2:41" ht="18" thickTop="1" thickBot="1" x14ac:dyDescent="0.25">
      <c r="B9" s="218"/>
      <c r="C9" s="244" t="s">
        <v>31</v>
      </c>
      <c r="E9" s="235">
        <v>8.2467589527368502E-4</v>
      </c>
      <c r="F9" s="236">
        <v>3</v>
      </c>
      <c r="G9" s="237">
        <v>2</v>
      </c>
    </row>
    <row r="10" spans="2:41" ht="17" thickBot="1" x14ac:dyDescent="0.25">
      <c r="B10" s="218"/>
      <c r="D10" s="259" t="s">
        <v>59</v>
      </c>
      <c r="E10" s="256">
        <v>8.2467589527368502E-4</v>
      </c>
      <c r="F10" s="257">
        <v>3</v>
      </c>
      <c r="G10" s="258">
        <v>2</v>
      </c>
    </row>
    <row r="11" spans="2:41" ht="17" thickBot="1" x14ac:dyDescent="0.25">
      <c r="B11" s="218"/>
      <c r="C11" s="221" t="s">
        <v>33</v>
      </c>
      <c r="D11" s="232"/>
      <c r="E11" s="233">
        <v>3295208.3985782354</v>
      </c>
      <c r="F11" s="234">
        <v>14667527</v>
      </c>
      <c r="G11" s="239">
        <v>146</v>
      </c>
    </row>
    <row r="12" spans="2:41" x14ac:dyDescent="0.2">
      <c r="B12" s="218"/>
      <c r="D12" s="238" t="s">
        <v>61</v>
      </c>
      <c r="E12" s="28">
        <v>2.7344375848770098E-4</v>
      </c>
      <c r="F12" s="4">
        <v>26</v>
      </c>
      <c r="G12" s="224">
        <v>1</v>
      </c>
    </row>
    <row r="13" spans="2:41" x14ac:dyDescent="0.2">
      <c r="B13" s="218"/>
      <c r="D13" s="238" t="s">
        <v>63</v>
      </c>
      <c r="E13" s="28">
        <v>5.5659376084804502E-4</v>
      </c>
      <c r="F13" s="4">
        <v>8</v>
      </c>
      <c r="G13" s="224">
        <v>2</v>
      </c>
    </row>
    <row r="14" spans="2:41" x14ac:dyDescent="0.2">
      <c r="B14" s="218"/>
      <c r="D14" s="238" t="s">
        <v>106</v>
      </c>
      <c r="E14" s="28">
        <v>2.52311117947101E-4</v>
      </c>
      <c r="F14" s="4">
        <v>3</v>
      </c>
      <c r="G14" s="224">
        <v>1</v>
      </c>
    </row>
    <row r="15" spans="2:41" x14ac:dyDescent="0.2">
      <c r="B15" s="218"/>
      <c r="D15" s="238" t="s">
        <v>158</v>
      </c>
      <c r="E15" s="28">
        <v>2.5376584380864999E-4</v>
      </c>
      <c r="F15" s="4">
        <v>3</v>
      </c>
      <c r="G15" s="224">
        <v>1</v>
      </c>
    </row>
    <row r="16" spans="2:41" x14ac:dyDescent="0.2">
      <c r="B16" s="218"/>
      <c r="D16" s="238" t="s">
        <v>68</v>
      </c>
      <c r="E16" s="28">
        <v>9.1400463134050304E-4</v>
      </c>
      <c r="F16" s="4">
        <v>29</v>
      </c>
      <c r="G16" s="224">
        <v>1</v>
      </c>
    </row>
    <row r="17" spans="2:7" x14ac:dyDescent="0.2">
      <c r="B17" s="218"/>
      <c r="D17" s="238" t="s">
        <v>69</v>
      </c>
      <c r="E17" s="28">
        <v>2.5534164160489998E-4</v>
      </c>
      <c r="F17" s="4">
        <v>1</v>
      </c>
      <c r="G17" s="224">
        <v>1</v>
      </c>
    </row>
    <row r="18" spans="2:7" x14ac:dyDescent="0.2">
      <c r="B18" s="218"/>
      <c r="D18" s="238" t="s">
        <v>70</v>
      </c>
      <c r="E18" s="28">
        <v>6.7870087577030027</v>
      </c>
      <c r="F18" s="4">
        <v>95</v>
      </c>
      <c r="G18" s="224">
        <v>8</v>
      </c>
    </row>
    <row r="19" spans="2:7" x14ac:dyDescent="0.2">
      <c r="B19" s="218"/>
      <c r="D19" s="238" t="s">
        <v>71</v>
      </c>
      <c r="E19" s="28">
        <v>1.8347054719924899E-6</v>
      </c>
      <c r="F19" s="4">
        <v>2</v>
      </c>
      <c r="G19" s="224">
        <v>1</v>
      </c>
    </row>
    <row r="20" spans="2:7" x14ac:dyDescent="0.2">
      <c r="B20" s="218"/>
      <c r="D20" s="238" t="s">
        <v>183</v>
      </c>
      <c r="E20" s="28">
        <v>2.6309210807084999E-4</v>
      </c>
      <c r="F20" s="4">
        <v>9</v>
      </c>
      <c r="G20" s="224">
        <v>1</v>
      </c>
    </row>
    <row r="21" spans="2:7" x14ac:dyDescent="0.2">
      <c r="B21" s="218"/>
      <c r="D21" s="238" t="s">
        <v>75</v>
      </c>
      <c r="E21" s="28">
        <v>2.05246452242136E-3</v>
      </c>
      <c r="F21" s="4">
        <v>45</v>
      </c>
      <c r="G21" s="224">
        <v>2</v>
      </c>
    </row>
    <row r="22" spans="2:7" x14ac:dyDescent="0.2">
      <c r="B22" s="218"/>
      <c r="D22" s="238" t="s">
        <v>76</v>
      </c>
      <c r="E22" s="28">
        <v>282.75547866243801</v>
      </c>
      <c r="F22" s="4">
        <v>1203</v>
      </c>
      <c r="G22" s="224">
        <v>1</v>
      </c>
    </row>
    <row r="23" spans="2:7" x14ac:dyDescent="0.2">
      <c r="B23" s="218"/>
      <c r="D23" s="238" t="s">
        <v>54</v>
      </c>
      <c r="E23" s="28">
        <v>1.6660476103425E-3</v>
      </c>
      <c r="F23" s="4">
        <v>75</v>
      </c>
      <c r="G23" s="224">
        <v>2</v>
      </c>
    </row>
    <row r="24" spans="2:7" x14ac:dyDescent="0.2">
      <c r="B24" s="218"/>
      <c r="D24" s="238" t="s">
        <v>78</v>
      </c>
      <c r="E24" s="28">
        <v>6.5402482906356374</v>
      </c>
      <c r="F24" s="4">
        <v>87</v>
      </c>
      <c r="G24" s="224">
        <v>4</v>
      </c>
    </row>
    <row r="25" spans="2:7" x14ac:dyDescent="0.2">
      <c r="B25" s="218"/>
      <c r="D25" s="238" t="s">
        <v>79</v>
      </c>
      <c r="E25" s="28">
        <v>2.5534164160489998E-4</v>
      </c>
      <c r="F25" s="4">
        <v>1</v>
      </c>
      <c r="G25" s="224">
        <v>1</v>
      </c>
    </row>
    <row r="26" spans="2:7" x14ac:dyDescent="0.2">
      <c r="B26" s="218"/>
      <c r="D26" s="238" t="s">
        <v>81</v>
      </c>
      <c r="E26" s="28">
        <v>1.6184840351343101E-3</v>
      </c>
      <c r="F26" s="4">
        <v>68</v>
      </c>
      <c r="G26" s="224">
        <v>2</v>
      </c>
    </row>
    <row r="27" spans="2:7" x14ac:dyDescent="0.2">
      <c r="B27" s="218"/>
      <c r="D27" s="238" t="s">
        <v>82</v>
      </c>
      <c r="E27" s="28">
        <v>4.1835010051727202E-6</v>
      </c>
      <c r="F27" s="4">
        <v>5</v>
      </c>
      <c r="G27" s="224">
        <v>1</v>
      </c>
    </row>
    <row r="28" spans="2:7" x14ac:dyDescent="0.2">
      <c r="B28" s="218"/>
      <c r="D28" s="238" t="s">
        <v>55</v>
      </c>
      <c r="E28" s="28">
        <v>15.66814634948962</v>
      </c>
      <c r="F28" s="4">
        <v>186</v>
      </c>
      <c r="G28" s="224">
        <v>3</v>
      </c>
    </row>
    <row r="29" spans="2:7" x14ac:dyDescent="0.2">
      <c r="B29" s="218"/>
      <c r="D29" s="238" t="s">
        <v>192</v>
      </c>
      <c r="E29" s="28">
        <v>9.2387199401855405E-7</v>
      </c>
      <c r="F29" s="4">
        <v>1</v>
      </c>
      <c r="G29" s="224">
        <v>1</v>
      </c>
    </row>
    <row r="30" spans="2:7" x14ac:dyDescent="0.2">
      <c r="B30" s="218"/>
      <c r="D30" s="238" t="s">
        <v>84</v>
      </c>
      <c r="E30" s="28">
        <v>1.5517896041273974E-2</v>
      </c>
      <c r="F30" s="4">
        <v>517</v>
      </c>
      <c r="G30" s="224">
        <v>12</v>
      </c>
    </row>
    <row r="31" spans="2:7" x14ac:dyDescent="0.2">
      <c r="B31" s="218"/>
      <c r="D31" s="238" t="s">
        <v>173</v>
      </c>
      <c r="E31" s="28">
        <v>1.1239126324653599E-3</v>
      </c>
      <c r="F31" s="4">
        <v>17</v>
      </c>
      <c r="G31" s="224">
        <v>1</v>
      </c>
    </row>
    <row r="32" spans="2:7" x14ac:dyDescent="0.2">
      <c r="B32" s="218"/>
      <c r="D32" s="238" t="s">
        <v>94</v>
      </c>
      <c r="E32" s="28">
        <v>2.6163831353187501E-4</v>
      </c>
      <c r="F32" s="4">
        <v>9</v>
      </c>
      <c r="G32" s="224">
        <v>1</v>
      </c>
    </row>
    <row r="33" spans="2:7" x14ac:dyDescent="0.2">
      <c r="B33" s="218"/>
      <c r="D33" s="238" t="s">
        <v>95</v>
      </c>
      <c r="E33" s="28">
        <v>2.5534164160489998E-4</v>
      </c>
      <c r="F33" s="4">
        <v>1</v>
      </c>
      <c r="G33" s="224">
        <v>1</v>
      </c>
    </row>
    <row r="34" spans="2:7" x14ac:dyDescent="0.2">
      <c r="B34" s="218"/>
      <c r="D34" s="238" t="s">
        <v>57</v>
      </c>
      <c r="E34" s="28">
        <v>32.173914568498702</v>
      </c>
      <c r="F34" s="4">
        <v>281</v>
      </c>
      <c r="G34" s="224">
        <v>9</v>
      </c>
    </row>
    <row r="35" spans="2:7" x14ac:dyDescent="0.2">
      <c r="B35" s="218"/>
      <c r="D35" s="238" t="s">
        <v>96</v>
      </c>
      <c r="E35" s="28">
        <v>3278196.7407410801</v>
      </c>
      <c r="F35" s="4">
        <v>14293704</v>
      </c>
      <c r="G35" s="224">
        <v>1</v>
      </c>
    </row>
    <row r="36" spans="2:7" x14ac:dyDescent="0.2">
      <c r="B36" s="218"/>
      <c r="D36" s="238" t="s">
        <v>97</v>
      </c>
      <c r="E36" s="28">
        <v>2.48377211391925E-4</v>
      </c>
      <c r="F36" s="4">
        <v>9</v>
      </c>
      <c r="G36" s="224">
        <v>1</v>
      </c>
    </row>
    <row r="37" spans="2:7" x14ac:dyDescent="0.2">
      <c r="B37" s="218"/>
      <c r="D37" s="238" t="s">
        <v>115</v>
      </c>
      <c r="E37" s="28">
        <v>1.48244643304497</v>
      </c>
      <c r="F37" s="4">
        <v>6</v>
      </c>
      <c r="G37" s="224">
        <v>1</v>
      </c>
    </row>
    <row r="38" spans="2:7" x14ac:dyDescent="0.2">
      <c r="B38" s="218"/>
      <c r="D38" s="238" t="s">
        <v>99</v>
      </c>
      <c r="E38" s="28">
        <v>2.5534164160489998E-4</v>
      </c>
      <c r="F38" s="4">
        <v>1</v>
      </c>
      <c r="G38" s="224">
        <v>1</v>
      </c>
    </row>
    <row r="39" spans="2:7" x14ac:dyDescent="0.2">
      <c r="B39" s="218"/>
      <c r="D39" s="238" t="s">
        <v>58</v>
      </c>
      <c r="E39" s="28">
        <v>293.16813643090421</v>
      </c>
      <c r="F39" s="4">
        <v>1191</v>
      </c>
      <c r="G39" s="224">
        <v>2</v>
      </c>
    </row>
    <row r="40" spans="2:7" ht="17" thickBot="1" x14ac:dyDescent="0.25">
      <c r="B40" s="218"/>
      <c r="D40" s="238" t="s">
        <v>59</v>
      </c>
      <c r="E40" s="28">
        <v>16373.056427322317</v>
      </c>
      <c r="F40" s="4">
        <v>369944</v>
      </c>
      <c r="G40" s="224">
        <v>82</v>
      </c>
    </row>
    <row r="41" spans="2:7" ht="17" thickBot="1" x14ac:dyDescent="0.25">
      <c r="B41" s="218"/>
      <c r="C41" s="221" t="s">
        <v>35</v>
      </c>
      <c r="D41" s="232"/>
      <c r="E41" s="233">
        <v>4990.2447753502029</v>
      </c>
      <c r="F41" s="234">
        <v>33193</v>
      </c>
      <c r="G41" s="239">
        <v>9</v>
      </c>
    </row>
    <row r="42" spans="2:7" x14ac:dyDescent="0.2">
      <c r="B42" s="218"/>
      <c r="D42" s="238" t="s">
        <v>70</v>
      </c>
      <c r="E42" s="28">
        <v>0.318269700743257</v>
      </c>
      <c r="F42" s="4">
        <v>2</v>
      </c>
      <c r="G42" s="224">
        <v>1</v>
      </c>
    </row>
    <row r="43" spans="2:7" x14ac:dyDescent="0.2">
      <c r="B43" s="218"/>
      <c r="D43" s="238" t="s">
        <v>84</v>
      </c>
      <c r="E43" s="28">
        <v>28.7397786425426</v>
      </c>
      <c r="F43" s="4">
        <v>179</v>
      </c>
      <c r="G43" s="224">
        <v>1</v>
      </c>
    </row>
    <row r="44" spans="2:7" x14ac:dyDescent="0.2">
      <c r="B44" s="218"/>
      <c r="D44" s="238" t="s">
        <v>57</v>
      </c>
      <c r="E44" s="28">
        <v>2.07898562122136</v>
      </c>
      <c r="F44" s="4">
        <v>14</v>
      </c>
      <c r="G44" s="224">
        <v>1</v>
      </c>
    </row>
    <row r="45" spans="2:7" x14ac:dyDescent="0.2">
      <c r="B45" s="218"/>
      <c r="D45" s="238" t="s">
        <v>96</v>
      </c>
      <c r="E45" s="28">
        <v>4032.1092486018301</v>
      </c>
      <c r="F45" s="4">
        <v>26412</v>
      </c>
      <c r="G45" s="224">
        <v>1</v>
      </c>
    </row>
    <row r="46" spans="2:7" ht="17" thickBot="1" x14ac:dyDescent="0.25">
      <c r="B46" s="218"/>
      <c r="D46" s="238" t="s">
        <v>59</v>
      </c>
      <c r="E46" s="28">
        <v>926.99849278386569</v>
      </c>
      <c r="F46" s="4">
        <v>6586</v>
      </c>
      <c r="G46" s="224">
        <v>5</v>
      </c>
    </row>
    <row r="47" spans="2:7" ht="17" thickBot="1" x14ac:dyDescent="0.25">
      <c r="B47" s="218"/>
      <c r="C47" s="221" t="s">
        <v>37</v>
      </c>
      <c r="D47" s="232"/>
      <c r="E47" s="233">
        <v>2.7834953740239123E-2</v>
      </c>
      <c r="F47" s="234">
        <v>3</v>
      </c>
      <c r="G47" s="239">
        <v>3</v>
      </c>
    </row>
    <row r="48" spans="2:7" x14ac:dyDescent="0.2">
      <c r="B48" s="218"/>
      <c r="C48" s="279"/>
      <c r="D48" s="282" t="s">
        <v>54</v>
      </c>
      <c r="E48" s="280">
        <v>9.2783179134130409E-3</v>
      </c>
      <c r="F48" s="281">
        <v>1</v>
      </c>
      <c r="G48" s="258">
        <v>1</v>
      </c>
    </row>
    <row r="49" spans="2:7" x14ac:dyDescent="0.2">
      <c r="B49" s="218"/>
      <c r="C49" s="279"/>
      <c r="D49" s="282" t="s">
        <v>94</v>
      </c>
      <c r="E49" s="280">
        <v>9.2783179134130409E-3</v>
      </c>
      <c r="F49" s="281">
        <v>1</v>
      </c>
      <c r="G49" s="258">
        <v>1</v>
      </c>
    </row>
    <row r="50" spans="2:7" ht="17" thickBot="1" x14ac:dyDescent="0.25">
      <c r="B50" s="218"/>
      <c r="D50" s="238" t="s">
        <v>59</v>
      </c>
      <c r="E50" s="28">
        <v>9.2783179134130409E-3</v>
      </c>
      <c r="F50" s="4">
        <v>1</v>
      </c>
      <c r="G50" s="224">
        <v>1</v>
      </c>
    </row>
    <row r="51" spans="2:7" ht="17" thickBot="1" x14ac:dyDescent="0.25">
      <c r="B51" s="218"/>
      <c r="C51" s="221" t="s">
        <v>39</v>
      </c>
      <c r="D51" s="232"/>
      <c r="E51" s="233">
        <v>228006.54118863301</v>
      </c>
      <c r="F51" s="234">
        <v>71892860</v>
      </c>
      <c r="G51" s="239">
        <v>522</v>
      </c>
    </row>
    <row r="52" spans="2:7" x14ac:dyDescent="0.2">
      <c r="B52" s="218"/>
      <c r="D52" s="238" t="s">
        <v>61</v>
      </c>
      <c r="E52" s="28">
        <v>0.105943142436444</v>
      </c>
      <c r="F52" s="4">
        <v>57</v>
      </c>
      <c r="G52" s="224">
        <v>3</v>
      </c>
    </row>
    <row r="53" spans="2:7" x14ac:dyDescent="0.2">
      <c r="B53" s="218"/>
      <c r="D53" s="238" t="s">
        <v>62</v>
      </c>
      <c r="E53" s="28">
        <v>0.51146018132567383</v>
      </c>
      <c r="F53" s="4">
        <v>340</v>
      </c>
      <c r="G53" s="224">
        <v>7</v>
      </c>
    </row>
    <row r="54" spans="2:7" x14ac:dyDescent="0.2">
      <c r="B54" s="218"/>
      <c r="D54" s="238" t="s">
        <v>63</v>
      </c>
      <c r="E54" s="28">
        <v>5.2725089713931E-2</v>
      </c>
      <c r="F54" s="4">
        <v>54</v>
      </c>
      <c r="G54" s="224">
        <v>3</v>
      </c>
    </row>
    <row r="55" spans="2:7" x14ac:dyDescent="0.2">
      <c r="B55" s="218"/>
      <c r="D55" s="238" t="s">
        <v>64</v>
      </c>
      <c r="E55" s="28">
        <v>1.1867105141282042</v>
      </c>
      <c r="F55" s="4">
        <v>344</v>
      </c>
      <c r="G55" s="224">
        <v>4</v>
      </c>
    </row>
    <row r="56" spans="2:7" x14ac:dyDescent="0.2">
      <c r="B56" s="218"/>
      <c r="D56" s="238" t="s">
        <v>157</v>
      </c>
      <c r="E56" s="28">
        <v>1.8379668705165299E-2</v>
      </c>
      <c r="F56" s="4">
        <v>22</v>
      </c>
      <c r="G56" s="224">
        <v>1</v>
      </c>
    </row>
    <row r="57" spans="2:7" x14ac:dyDescent="0.2">
      <c r="B57" s="218"/>
      <c r="D57" s="238" t="s">
        <v>65</v>
      </c>
      <c r="E57" s="28">
        <v>1.26545466482639E-2</v>
      </c>
      <c r="F57" s="4">
        <v>17</v>
      </c>
      <c r="G57" s="224">
        <v>1</v>
      </c>
    </row>
    <row r="58" spans="2:7" x14ac:dyDescent="0.2">
      <c r="B58" s="218"/>
      <c r="D58" s="238" t="s">
        <v>106</v>
      </c>
      <c r="E58" s="28">
        <v>540.48089660704079</v>
      </c>
      <c r="F58" s="4">
        <v>163158</v>
      </c>
      <c r="G58" s="224">
        <v>8</v>
      </c>
    </row>
    <row r="59" spans="2:7" x14ac:dyDescent="0.2">
      <c r="B59" s="218"/>
      <c r="D59" s="238" t="s">
        <v>66</v>
      </c>
      <c r="E59" s="28">
        <v>0.37851849757134798</v>
      </c>
      <c r="F59" s="4">
        <v>130</v>
      </c>
      <c r="G59" s="224">
        <v>3</v>
      </c>
    </row>
    <row r="60" spans="2:7" x14ac:dyDescent="0.2">
      <c r="B60" s="218"/>
      <c r="D60" s="238" t="s">
        <v>67</v>
      </c>
      <c r="E60" s="28">
        <v>10936.67249585129</v>
      </c>
      <c r="F60" s="4">
        <v>1716237</v>
      </c>
      <c r="G60" s="224">
        <v>19</v>
      </c>
    </row>
    <row r="61" spans="2:7" x14ac:dyDescent="0.2">
      <c r="B61" s="218"/>
      <c r="D61" s="238" t="s">
        <v>158</v>
      </c>
      <c r="E61" s="28">
        <v>8.9666480198502506E-3</v>
      </c>
      <c r="F61" s="4">
        <v>17</v>
      </c>
      <c r="G61" s="224">
        <v>2</v>
      </c>
    </row>
    <row r="62" spans="2:7" x14ac:dyDescent="0.2">
      <c r="B62" s="218"/>
      <c r="D62" s="238" t="s">
        <v>68</v>
      </c>
      <c r="E62" s="28">
        <v>48.338452607393165</v>
      </c>
      <c r="F62" s="4">
        <v>8764</v>
      </c>
      <c r="G62" s="224">
        <v>15</v>
      </c>
    </row>
    <row r="63" spans="2:7" x14ac:dyDescent="0.2">
      <c r="B63" s="218"/>
      <c r="D63" s="238" t="s">
        <v>69</v>
      </c>
      <c r="E63" s="28">
        <v>8.4772419184446335E-2</v>
      </c>
      <c r="F63" s="4">
        <v>155</v>
      </c>
      <c r="G63" s="224">
        <v>6</v>
      </c>
    </row>
    <row r="64" spans="2:7" x14ac:dyDescent="0.2">
      <c r="B64" s="218"/>
      <c r="D64" s="238" t="s">
        <v>70</v>
      </c>
      <c r="E64" s="28">
        <v>653.65461430326081</v>
      </c>
      <c r="F64" s="4">
        <v>104564</v>
      </c>
      <c r="G64" s="224">
        <v>47</v>
      </c>
    </row>
    <row r="65" spans="2:7" x14ac:dyDescent="0.2">
      <c r="B65" s="218"/>
      <c r="D65" s="238" t="s">
        <v>71</v>
      </c>
      <c r="E65" s="28">
        <v>0.51559294853359439</v>
      </c>
      <c r="F65" s="4">
        <v>362</v>
      </c>
      <c r="G65" s="224">
        <v>19</v>
      </c>
    </row>
    <row r="66" spans="2:7" x14ac:dyDescent="0.2">
      <c r="B66" s="218"/>
      <c r="D66" s="238" t="s">
        <v>183</v>
      </c>
      <c r="E66" s="28">
        <v>12.994988811202312</v>
      </c>
      <c r="F66" s="4">
        <v>2033</v>
      </c>
      <c r="G66" s="224">
        <v>2</v>
      </c>
    </row>
    <row r="67" spans="2:7" x14ac:dyDescent="0.2">
      <c r="B67" s="218"/>
      <c r="D67" s="238" t="s">
        <v>167</v>
      </c>
      <c r="E67" s="28">
        <v>6.4251119270920601E-2</v>
      </c>
      <c r="F67" s="4">
        <v>24</v>
      </c>
      <c r="G67" s="224">
        <v>4</v>
      </c>
    </row>
    <row r="68" spans="2:7" x14ac:dyDescent="0.2">
      <c r="B68" s="218"/>
      <c r="D68" s="238" t="s">
        <v>186</v>
      </c>
      <c r="E68" s="28">
        <v>2.6164359413087299E-2</v>
      </c>
      <c r="F68" s="4">
        <v>3</v>
      </c>
      <c r="G68" s="224">
        <v>1</v>
      </c>
    </row>
    <row r="69" spans="2:7" x14ac:dyDescent="0.2">
      <c r="B69" s="218"/>
      <c r="D69" s="238" t="s">
        <v>72</v>
      </c>
      <c r="E69" s="28">
        <v>7.5977891683578396E-3</v>
      </c>
      <c r="F69" s="4">
        <v>9</v>
      </c>
      <c r="G69" s="224">
        <v>1</v>
      </c>
    </row>
    <row r="70" spans="2:7" x14ac:dyDescent="0.2">
      <c r="B70" s="218"/>
      <c r="D70" s="238" t="s">
        <v>73</v>
      </c>
      <c r="E70" s="28">
        <v>0.13491828273981801</v>
      </c>
      <c r="F70" s="4">
        <v>73</v>
      </c>
      <c r="G70" s="224">
        <v>3</v>
      </c>
    </row>
    <row r="71" spans="2:7" x14ac:dyDescent="0.2">
      <c r="B71" s="218"/>
      <c r="D71" s="238" t="s">
        <v>74</v>
      </c>
      <c r="E71" s="28">
        <v>2.9765404760837499E-2</v>
      </c>
      <c r="F71" s="4">
        <v>25</v>
      </c>
      <c r="G71" s="224">
        <v>2</v>
      </c>
    </row>
    <row r="72" spans="2:7" x14ac:dyDescent="0.2">
      <c r="B72" s="218"/>
      <c r="D72" s="238" t="s">
        <v>159</v>
      </c>
      <c r="E72" s="28">
        <v>1.8373368307948099E-2</v>
      </c>
      <c r="F72" s="4">
        <v>2</v>
      </c>
      <c r="G72" s="224">
        <v>1</v>
      </c>
    </row>
    <row r="73" spans="2:7" x14ac:dyDescent="0.2">
      <c r="B73" s="218"/>
      <c r="D73" s="238" t="s">
        <v>75</v>
      </c>
      <c r="E73" s="28">
        <v>4.3912459313869405</v>
      </c>
      <c r="F73" s="4">
        <v>747</v>
      </c>
      <c r="G73" s="224">
        <v>7</v>
      </c>
    </row>
    <row r="74" spans="2:7" x14ac:dyDescent="0.2">
      <c r="B74" s="218"/>
      <c r="D74" s="238" t="s">
        <v>76</v>
      </c>
      <c r="E74" s="28">
        <v>0.23378107137978069</v>
      </c>
      <c r="F74" s="4">
        <v>101</v>
      </c>
      <c r="G74" s="224">
        <v>8</v>
      </c>
    </row>
    <row r="75" spans="2:7" x14ac:dyDescent="0.2">
      <c r="B75" s="218"/>
      <c r="D75" s="238" t="s">
        <v>54</v>
      </c>
      <c r="E75" s="28">
        <v>0.31042193993925998</v>
      </c>
      <c r="F75" s="4">
        <v>253</v>
      </c>
      <c r="G75" s="224">
        <v>9</v>
      </c>
    </row>
    <row r="76" spans="2:7" x14ac:dyDescent="0.2">
      <c r="B76" s="218"/>
      <c r="D76" s="238" t="s">
        <v>78</v>
      </c>
      <c r="E76" s="28">
        <v>208.22730965912336</v>
      </c>
      <c r="F76" s="4">
        <v>32716</v>
      </c>
      <c r="G76" s="224">
        <v>24</v>
      </c>
    </row>
    <row r="77" spans="2:7" x14ac:dyDescent="0.2">
      <c r="B77" s="218"/>
      <c r="D77" s="238" t="s">
        <v>79</v>
      </c>
      <c r="E77" s="28">
        <v>2.0296442322432901E-2</v>
      </c>
      <c r="F77" s="4">
        <v>26</v>
      </c>
      <c r="G77" s="224">
        <v>2</v>
      </c>
    </row>
    <row r="78" spans="2:7" x14ac:dyDescent="0.2">
      <c r="B78" s="218"/>
      <c r="D78" s="238" t="s">
        <v>189</v>
      </c>
      <c r="E78" s="28">
        <v>4.3782059103250406E-2</v>
      </c>
      <c r="F78" s="4">
        <v>28</v>
      </c>
      <c r="G78" s="224">
        <v>3</v>
      </c>
    </row>
    <row r="79" spans="2:7" x14ac:dyDescent="0.2">
      <c r="B79" s="218"/>
      <c r="D79" s="238" t="s">
        <v>81</v>
      </c>
      <c r="E79" s="28">
        <v>14.845141778700029</v>
      </c>
      <c r="F79" s="4">
        <v>2290</v>
      </c>
      <c r="G79" s="224">
        <v>17</v>
      </c>
    </row>
    <row r="80" spans="2:7" x14ac:dyDescent="0.2">
      <c r="B80" s="218"/>
      <c r="D80" s="238" t="s">
        <v>82</v>
      </c>
      <c r="E80" s="28">
        <v>0.25151017401367398</v>
      </c>
      <c r="F80" s="4">
        <v>216</v>
      </c>
      <c r="G80" s="224">
        <v>10</v>
      </c>
    </row>
    <row r="81" spans="2:7" x14ac:dyDescent="0.2">
      <c r="B81" s="218"/>
      <c r="D81" s="238" t="s">
        <v>108</v>
      </c>
      <c r="E81" s="28">
        <v>0.12926192954182589</v>
      </c>
      <c r="F81" s="4">
        <v>31</v>
      </c>
      <c r="G81" s="224">
        <v>2</v>
      </c>
    </row>
    <row r="82" spans="2:7" x14ac:dyDescent="0.2">
      <c r="B82" s="218"/>
      <c r="D82" s="238" t="s">
        <v>109</v>
      </c>
      <c r="E82" s="28">
        <v>0.15235031582415101</v>
      </c>
      <c r="F82" s="4">
        <v>33</v>
      </c>
      <c r="G82" s="224">
        <v>2</v>
      </c>
    </row>
    <row r="83" spans="2:7" x14ac:dyDescent="0.2">
      <c r="B83" s="218"/>
      <c r="D83" s="238" t="s">
        <v>55</v>
      </c>
      <c r="E83" s="28">
        <v>812.82818481232937</v>
      </c>
      <c r="F83" s="4">
        <v>252252</v>
      </c>
      <c r="G83" s="224">
        <v>8</v>
      </c>
    </row>
    <row r="84" spans="2:7" x14ac:dyDescent="0.2">
      <c r="B84" s="218"/>
      <c r="D84" s="238" t="s">
        <v>192</v>
      </c>
      <c r="E84" s="28">
        <v>2.9493815265595819E-2</v>
      </c>
      <c r="F84" s="4">
        <v>47</v>
      </c>
      <c r="G84" s="224">
        <v>2</v>
      </c>
    </row>
    <row r="85" spans="2:7" x14ac:dyDescent="0.2">
      <c r="B85" s="218"/>
      <c r="D85" s="238" t="s">
        <v>193</v>
      </c>
      <c r="E85" s="28">
        <v>9.0407878160476598E-3</v>
      </c>
      <c r="F85" s="4">
        <v>9</v>
      </c>
      <c r="G85" s="224">
        <v>1</v>
      </c>
    </row>
    <row r="86" spans="2:7" x14ac:dyDescent="0.2">
      <c r="B86" s="218"/>
      <c r="D86" s="238" t="s">
        <v>171</v>
      </c>
      <c r="E86" s="28">
        <v>7.4422769248485496E-3</v>
      </c>
      <c r="F86" s="4">
        <v>1</v>
      </c>
      <c r="G86" s="224">
        <v>1</v>
      </c>
    </row>
    <row r="87" spans="2:7" x14ac:dyDescent="0.2">
      <c r="B87" s="218"/>
      <c r="D87" s="238" t="s">
        <v>194</v>
      </c>
      <c r="E87" s="28">
        <v>6.9089736789464899E-3</v>
      </c>
      <c r="F87" s="4">
        <v>4</v>
      </c>
      <c r="G87" s="224">
        <v>1</v>
      </c>
    </row>
    <row r="88" spans="2:7" x14ac:dyDescent="0.2">
      <c r="B88" s="218"/>
      <c r="D88" s="238" t="s">
        <v>83</v>
      </c>
      <c r="E88" s="28">
        <v>0.48089605476707165</v>
      </c>
      <c r="F88" s="4">
        <v>433</v>
      </c>
      <c r="G88" s="224">
        <v>3</v>
      </c>
    </row>
    <row r="89" spans="2:7" x14ac:dyDescent="0.2">
      <c r="B89" s="218"/>
      <c r="D89" s="238" t="s">
        <v>195</v>
      </c>
      <c r="E89" s="28">
        <v>2.50298492610454E-2</v>
      </c>
      <c r="F89" s="4">
        <v>27</v>
      </c>
      <c r="G89" s="224">
        <v>1</v>
      </c>
    </row>
    <row r="90" spans="2:7" x14ac:dyDescent="0.2">
      <c r="B90" s="218"/>
      <c r="D90" s="238" t="s">
        <v>196</v>
      </c>
      <c r="E90" s="28">
        <v>0.24544876161962642</v>
      </c>
      <c r="F90" s="4">
        <v>119</v>
      </c>
      <c r="G90" s="224">
        <v>2</v>
      </c>
    </row>
    <row r="91" spans="2:7" x14ac:dyDescent="0.2">
      <c r="B91" s="218"/>
      <c r="D91" s="238" t="s">
        <v>84</v>
      </c>
      <c r="E91" s="28">
        <v>2.4799394188448751</v>
      </c>
      <c r="F91" s="4">
        <v>1066</v>
      </c>
      <c r="G91" s="224">
        <v>16</v>
      </c>
    </row>
    <row r="92" spans="2:7" x14ac:dyDescent="0.2">
      <c r="B92" s="218"/>
      <c r="D92" s="238" t="s">
        <v>110</v>
      </c>
      <c r="E92" s="28">
        <v>2.2340266034006989E-2</v>
      </c>
      <c r="F92" s="4">
        <v>11</v>
      </c>
      <c r="G92" s="224">
        <v>2</v>
      </c>
    </row>
    <row r="93" spans="2:7" x14ac:dyDescent="0.2">
      <c r="B93" s="218"/>
      <c r="D93" s="238" t="s">
        <v>85</v>
      </c>
      <c r="E93" s="28">
        <v>92.72136166691773</v>
      </c>
      <c r="F93" s="4">
        <v>8617</v>
      </c>
      <c r="G93" s="224">
        <v>2</v>
      </c>
    </row>
    <row r="94" spans="2:7" x14ac:dyDescent="0.2">
      <c r="B94" s="218"/>
      <c r="D94" s="238" t="s">
        <v>162</v>
      </c>
      <c r="E94" s="28">
        <v>1052.728191090745</v>
      </c>
      <c r="F94" s="4">
        <v>162915</v>
      </c>
      <c r="G94" s="224">
        <v>2</v>
      </c>
    </row>
    <row r="95" spans="2:7" x14ac:dyDescent="0.2">
      <c r="B95" s="218"/>
      <c r="D95" s="238" t="s">
        <v>198</v>
      </c>
      <c r="E95" s="28">
        <v>0.13525297865271499</v>
      </c>
      <c r="F95" s="4">
        <v>33</v>
      </c>
      <c r="G95" s="224">
        <v>1</v>
      </c>
    </row>
    <row r="96" spans="2:7" x14ac:dyDescent="0.2">
      <c r="B96" s="218"/>
      <c r="D96" s="238" t="s">
        <v>150</v>
      </c>
      <c r="E96" s="28">
        <v>1.29492478445172E-2</v>
      </c>
      <c r="F96" s="4">
        <v>2</v>
      </c>
      <c r="G96" s="224">
        <v>1</v>
      </c>
    </row>
    <row r="97" spans="2:7" x14ac:dyDescent="0.2">
      <c r="B97" s="218"/>
      <c r="D97" s="238" t="s">
        <v>86</v>
      </c>
      <c r="E97" s="28">
        <v>1.4012434650212469</v>
      </c>
      <c r="F97" s="4">
        <v>275</v>
      </c>
      <c r="G97" s="224">
        <v>10</v>
      </c>
    </row>
    <row r="98" spans="2:7" x14ac:dyDescent="0.2">
      <c r="B98" s="218"/>
      <c r="D98" s="238" t="s">
        <v>87</v>
      </c>
      <c r="E98" s="28">
        <v>21.339328597299676</v>
      </c>
      <c r="F98" s="4">
        <v>5319</v>
      </c>
      <c r="G98" s="224">
        <v>3</v>
      </c>
    </row>
    <row r="99" spans="2:7" x14ac:dyDescent="0.2">
      <c r="B99" s="218"/>
      <c r="D99" s="238" t="s">
        <v>111</v>
      </c>
      <c r="E99" s="28">
        <v>4.72655016928911E-2</v>
      </c>
      <c r="F99" s="4">
        <v>40</v>
      </c>
      <c r="G99" s="224">
        <v>2</v>
      </c>
    </row>
    <row r="100" spans="2:7" x14ac:dyDescent="0.2">
      <c r="B100" s="218"/>
      <c r="D100" s="238" t="s">
        <v>88</v>
      </c>
      <c r="E100" s="28">
        <v>0.23953118175268101</v>
      </c>
      <c r="F100" s="4">
        <v>50</v>
      </c>
      <c r="G100" s="224">
        <v>1</v>
      </c>
    </row>
    <row r="101" spans="2:7" x14ac:dyDescent="0.2">
      <c r="B101" s="218"/>
      <c r="D101" s="238" t="s">
        <v>173</v>
      </c>
      <c r="E101" s="28">
        <v>3.9816258475184399E-2</v>
      </c>
      <c r="F101" s="4">
        <v>22</v>
      </c>
      <c r="G101" s="224">
        <v>3</v>
      </c>
    </row>
    <row r="102" spans="2:7" x14ac:dyDescent="0.2">
      <c r="B102" s="218"/>
      <c r="D102" s="238" t="s">
        <v>90</v>
      </c>
      <c r="E102" s="28">
        <v>0.20099989976733901</v>
      </c>
      <c r="F102" s="4">
        <v>165</v>
      </c>
      <c r="G102" s="224">
        <v>5</v>
      </c>
    </row>
    <row r="103" spans="2:7" x14ac:dyDescent="0.2">
      <c r="B103" s="218"/>
      <c r="D103" s="238" t="s">
        <v>91</v>
      </c>
      <c r="E103" s="28">
        <v>4.1193831712007502E-2</v>
      </c>
      <c r="F103" s="4">
        <v>21</v>
      </c>
      <c r="G103" s="224">
        <v>2</v>
      </c>
    </row>
    <row r="104" spans="2:7" x14ac:dyDescent="0.2">
      <c r="B104" s="218"/>
      <c r="D104" s="238" t="s">
        <v>56</v>
      </c>
      <c r="E104" s="28">
        <v>2.1759909233078312</v>
      </c>
      <c r="F104" s="4">
        <v>448</v>
      </c>
      <c r="G104" s="224">
        <v>3</v>
      </c>
    </row>
    <row r="105" spans="2:7" x14ac:dyDescent="0.2">
      <c r="B105" s="218"/>
      <c r="D105" s="238" t="s">
        <v>112</v>
      </c>
      <c r="E105" s="28">
        <v>0.90383738279342596</v>
      </c>
      <c r="F105" s="4">
        <v>439</v>
      </c>
      <c r="G105" s="224">
        <v>2</v>
      </c>
    </row>
    <row r="106" spans="2:7" x14ac:dyDescent="0.2">
      <c r="B106" s="218"/>
      <c r="D106" s="238" t="s">
        <v>92</v>
      </c>
      <c r="E106" s="28">
        <v>5.7919247075915302E-2</v>
      </c>
      <c r="F106" s="4">
        <v>15</v>
      </c>
      <c r="G106" s="224">
        <v>2</v>
      </c>
    </row>
    <row r="107" spans="2:7" x14ac:dyDescent="0.2">
      <c r="B107" s="218"/>
      <c r="D107" s="238" t="s">
        <v>93</v>
      </c>
      <c r="E107" s="28">
        <v>8.6917812004685402E-3</v>
      </c>
      <c r="F107" s="4">
        <v>11</v>
      </c>
      <c r="G107" s="224">
        <v>1</v>
      </c>
    </row>
    <row r="108" spans="2:7" x14ac:dyDescent="0.2">
      <c r="B108" s="218"/>
      <c r="D108" s="238" t="s">
        <v>94</v>
      </c>
      <c r="E108" s="28">
        <v>2.1474067717790599</v>
      </c>
      <c r="F108" s="4">
        <v>763</v>
      </c>
      <c r="G108" s="224">
        <v>6</v>
      </c>
    </row>
    <row r="109" spans="2:7" x14ac:dyDescent="0.2">
      <c r="B109" s="218"/>
      <c r="D109" s="238" t="s">
        <v>163</v>
      </c>
      <c r="E109" s="28">
        <v>0.22082314640283501</v>
      </c>
      <c r="F109" s="4">
        <v>35</v>
      </c>
      <c r="G109" s="224">
        <v>1</v>
      </c>
    </row>
    <row r="110" spans="2:7" x14ac:dyDescent="0.2">
      <c r="B110" s="218"/>
      <c r="D110" s="238" t="s">
        <v>95</v>
      </c>
      <c r="E110" s="28">
        <v>80.904159715399103</v>
      </c>
      <c r="F110" s="4">
        <v>12556</v>
      </c>
      <c r="G110" s="224">
        <v>1</v>
      </c>
    </row>
    <row r="111" spans="2:7" x14ac:dyDescent="0.2">
      <c r="B111" s="218"/>
      <c r="D111" s="238" t="s">
        <v>57</v>
      </c>
      <c r="E111" s="28">
        <v>0.98509742785245014</v>
      </c>
      <c r="F111" s="4">
        <v>296</v>
      </c>
      <c r="G111" s="224">
        <v>11</v>
      </c>
    </row>
    <row r="112" spans="2:7" x14ac:dyDescent="0.2">
      <c r="B112" s="218"/>
      <c r="D112" s="238" t="s">
        <v>113</v>
      </c>
      <c r="E112" s="28">
        <v>2.6009492576122201E-2</v>
      </c>
      <c r="F112" s="4">
        <v>30</v>
      </c>
      <c r="G112" s="224">
        <v>1</v>
      </c>
    </row>
    <row r="113" spans="2:7" x14ac:dyDescent="0.2">
      <c r="B113" s="218"/>
      <c r="D113" s="238" t="s">
        <v>156</v>
      </c>
      <c r="E113" s="28">
        <v>3920.0491752885209</v>
      </c>
      <c r="F113" s="4">
        <v>627458</v>
      </c>
      <c r="G113" s="224">
        <v>6</v>
      </c>
    </row>
    <row r="114" spans="2:7" x14ac:dyDescent="0.2">
      <c r="B114" s="218"/>
      <c r="D114" s="238" t="s">
        <v>96</v>
      </c>
      <c r="E114" s="28">
        <v>161131.79010954499</v>
      </c>
      <c r="F114" s="4">
        <v>51217590</v>
      </c>
      <c r="G114" s="224">
        <v>1</v>
      </c>
    </row>
    <row r="115" spans="2:7" x14ac:dyDescent="0.2">
      <c r="B115" s="218"/>
      <c r="D115" s="238" t="s">
        <v>114</v>
      </c>
      <c r="E115" s="28">
        <v>0.1320288097485893</v>
      </c>
      <c r="F115" s="4">
        <v>32</v>
      </c>
      <c r="G115" s="224">
        <v>2</v>
      </c>
    </row>
    <row r="116" spans="2:7" x14ac:dyDescent="0.2">
      <c r="B116" s="218"/>
      <c r="D116" s="238" t="s">
        <v>97</v>
      </c>
      <c r="E116" s="28">
        <v>1.7642973922193012E-2</v>
      </c>
      <c r="F116" s="4">
        <v>17</v>
      </c>
      <c r="G116" s="224">
        <v>3</v>
      </c>
    </row>
    <row r="117" spans="2:7" x14ac:dyDescent="0.2">
      <c r="B117" s="218"/>
      <c r="D117" s="238" t="s">
        <v>115</v>
      </c>
      <c r="E117" s="28">
        <v>3.2821702770888798E-2</v>
      </c>
      <c r="F117" s="4">
        <v>32</v>
      </c>
      <c r="G117" s="224">
        <v>3</v>
      </c>
    </row>
    <row r="118" spans="2:7" x14ac:dyDescent="0.2">
      <c r="B118" s="218"/>
      <c r="D118" s="238" t="s">
        <v>99</v>
      </c>
      <c r="E118" s="28">
        <v>0.25074840802699239</v>
      </c>
      <c r="F118" s="4">
        <v>93</v>
      </c>
      <c r="G118" s="224">
        <v>7</v>
      </c>
    </row>
    <row r="119" spans="2:7" x14ac:dyDescent="0.2">
      <c r="B119" s="218"/>
      <c r="D119" s="238" t="s">
        <v>100</v>
      </c>
      <c r="E119" s="28">
        <v>0.216211127117276</v>
      </c>
      <c r="F119" s="4">
        <v>64</v>
      </c>
      <c r="G119" s="224">
        <v>4</v>
      </c>
    </row>
    <row r="120" spans="2:7" x14ac:dyDescent="0.2">
      <c r="B120" s="218"/>
      <c r="D120" s="238" t="s">
        <v>58</v>
      </c>
      <c r="E120" s="28">
        <v>394.32808694802196</v>
      </c>
      <c r="F120" s="4">
        <v>648671</v>
      </c>
      <c r="G120" s="224">
        <v>9</v>
      </c>
    </row>
    <row r="121" spans="2:7" x14ac:dyDescent="0.2">
      <c r="B121" s="218"/>
      <c r="D121" s="238" t="s">
        <v>59</v>
      </c>
      <c r="E121" s="28">
        <v>47391.951305952782</v>
      </c>
      <c r="F121" s="4">
        <v>16815222</v>
      </c>
      <c r="G121" s="224">
        <v>146</v>
      </c>
    </row>
    <row r="122" spans="2:7" x14ac:dyDescent="0.2">
      <c r="B122" s="218"/>
      <c r="D122" s="238" t="s">
        <v>103</v>
      </c>
      <c r="E122" s="28">
        <v>671.17946612462379</v>
      </c>
      <c r="F122" s="4">
        <v>104744</v>
      </c>
      <c r="G122" s="224">
        <v>5</v>
      </c>
    </row>
    <row r="123" spans="2:7" x14ac:dyDescent="0.2">
      <c r="B123" s="218"/>
      <c r="D123" s="238" t="s">
        <v>104</v>
      </c>
      <c r="E123" s="28">
        <v>0.218345431610941</v>
      </c>
      <c r="F123" s="4">
        <v>65</v>
      </c>
      <c r="G123" s="224">
        <v>2</v>
      </c>
    </row>
    <row r="124" spans="2:7" ht="17" thickBot="1" x14ac:dyDescent="0.25">
      <c r="B124" s="218"/>
      <c r="D124" s="238" t="s">
        <v>201</v>
      </c>
      <c r="E124" s="28">
        <v>1.08234584331512E-4</v>
      </c>
      <c r="F124" s="4">
        <v>20</v>
      </c>
      <c r="G124" s="224">
        <v>1</v>
      </c>
    </row>
    <row r="125" spans="2:7" ht="17" thickBot="1" x14ac:dyDescent="0.25">
      <c r="B125" s="218"/>
      <c r="C125" s="221" t="s">
        <v>41</v>
      </c>
      <c r="D125" s="232"/>
      <c r="E125" s="233">
        <v>3094.2160436874237</v>
      </c>
      <c r="F125" s="234">
        <v>212078</v>
      </c>
      <c r="G125" s="239">
        <v>43</v>
      </c>
    </row>
    <row r="126" spans="2:7" x14ac:dyDescent="0.2">
      <c r="B126" s="218"/>
      <c r="D126" s="238" t="s">
        <v>63</v>
      </c>
      <c r="E126" s="28">
        <v>8.9464550837874395E-3</v>
      </c>
      <c r="F126" s="4">
        <v>11</v>
      </c>
      <c r="G126" s="224">
        <v>1</v>
      </c>
    </row>
    <row r="127" spans="2:7" x14ac:dyDescent="0.2">
      <c r="B127" s="218"/>
      <c r="D127" s="238" t="s">
        <v>106</v>
      </c>
      <c r="E127" s="28">
        <v>10.471386908553539</v>
      </c>
      <c r="F127" s="4">
        <v>1135</v>
      </c>
      <c r="G127" s="224">
        <v>7</v>
      </c>
    </row>
    <row r="128" spans="2:7" x14ac:dyDescent="0.2">
      <c r="B128" s="218"/>
      <c r="D128" s="238" t="s">
        <v>67</v>
      </c>
      <c r="E128" s="28">
        <v>1.37751223519444E-2</v>
      </c>
      <c r="F128" s="4">
        <v>1</v>
      </c>
      <c r="G128" s="224">
        <v>1</v>
      </c>
    </row>
    <row r="129" spans="2:7" x14ac:dyDescent="0.2">
      <c r="B129" s="218"/>
      <c r="D129" s="238" t="s">
        <v>68</v>
      </c>
      <c r="E129" s="28">
        <v>8.6800549179315498E-3</v>
      </c>
      <c r="F129" s="4">
        <v>1</v>
      </c>
      <c r="G129" s="224">
        <v>1</v>
      </c>
    </row>
    <row r="130" spans="2:7" x14ac:dyDescent="0.2">
      <c r="B130" s="218"/>
      <c r="D130" s="238" t="s">
        <v>70</v>
      </c>
      <c r="E130" s="28">
        <v>0.2344513451680531</v>
      </c>
      <c r="F130" s="4">
        <v>58</v>
      </c>
      <c r="G130" s="224">
        <v>3</v>
      </c>
    </row>
    <row r="131" spans="2:7" x14ac:dyDescent="0.2">
      <c r="B131" s="218"/>
      <c r="D131" s="238" t="s">
        <v>71</v>
      </c>
      <c r="E131" s="28">
        <v>1.54795944690704E-2</v>
      </c>
      <c r="F131" s="4">
        <v>1</v>
      </c>
      <c r="G131" s="224">
        <v>1</v>
      </c>
    </row>
    <row r="132" spans="2:7" x14ac:dyDescent="0.2">
      <c r="B132" s="218"/>
      <c r="D132" s="238" t="s">
        <v>159</v>
      </c>
      <c r="E132" s="28">
        <v>2.49368362128734E-2</v>
      </c>
      <c r="F132" s="4">
        <v>2</v>
      </c>
      <c r="G132" s="224">
        <v>1</v>
      </c>
    </row>
    <row r="133" spans="2:7" x14ac:dyDescent="0.2">
      <c r="B133" s="218"/>
      <c r="D133" s="238" t="s">
        <v>75</v>
      </c>
      <c r="E133" s="28">
        <v>1.8447307869791901E-2</v>
      </c>
      <c r="F133" s="4">
        <v>2</v>
      </c>
      <c r="G133" s="224">
        <v>1</v>
      </c>
    </row>
    <row r="134" spans="2:7" x14ac:dyDescent="0.2">
      <c r="B134" s="218"/>
      <c r="D134" s="238" t="s">
        <v>76</v>
      </c>
      <c r="E134" s="28">
        <v>1.24684181064367E-2</v>
      </c>
      <c r="F134" s="4">
        <v>1</v>
      </c>
      <c r="G134" s="224">
        <v>1</v>
      </c>
    </row>
    <row r="135" spans="2:7" x14ac:dyDescent="0.2">
      <c r="B135" s="218"/>
      <c r="D135" s="238" t="s">
        <v>54</v>
      </c>
      <c r="E135" s="28">
        <v>9.8669116385281003E-2</v>
      </c>
      <c r="F135" s="4">
        <v>18</v>
      </c>
      <c r="G135" s="224">
        <v>1</v>
      </c>
    </row>
    <row r="136" spans="2:7" x14ac:dyDescent="0.2">
      <c r="B136" s="218"/>
      <c r="D136" s="238" t="s">
        <v>78</v>
      </c>
      <c r="E136" s="28">
        <v>9.4703936576843208</v>
      </c>
      <c r="F136" s="4">
        <v>1157</v>
      </c>
      <c r="G136" s="224">
        <v>2</v>
      </c>
    </row>
    <row r="137" spans="2:7" x14ac:dyDescent="0.2">
      <c r="B137" s="218"/>
      <c r="D137" s="238" t="s">
        <v>79</v>
      </c>
      <c r="E137" s="28">
        <v>6.8597326986491597E-2</v>
      </c>
      <c r="F137" s="4">
        <v>17</v>
      </c>
      <c r="G137" s="224">
        <v>1</v>
      </c>
    </row>
    <row r="138" spans="2:7" x14ac:dyDescent="0.2">
      <c r="B138" s="218"/>
      <c r="D138" s="238" t="s">
        <v>81</v>
      </c>
      <c r="E138" s="28">
        <v>0.16438185330480301</v>
      </c>
      <c r="F138" s="4">
        <v>10</v>
      </c>
      <c r="G138" s="224">
        <v>1</v>
      </c>
    </row>
    <row r="139" spans="2:7" x14ac:dyDescent="0.2">
      <c r="B139" s="218"/>
      <c r="D139" s="238" t="s">
        <v>108</v>
      </c>
      <c r="E139" s="28">
        <v>1.50538086891174E-2</v>
      </c>
      <c r="F139" s="4">
        <v>1</v>
      </c>
      <c r="G139" s="224">
        <v>1</v>
      </c>
    </row>
    <row r="140" spans="2:7" x14ac:dyDescent="0.2">
      <c r="B140" s="218"/>
      <c r="D140" s="238" t="s">
        <v>83</v>
      </c>
      <c r="E140" s="28">
        <v>3.4079485572874497E-2</v>
      </c>
      <c r="F140" s="4">
        <v>13</v>
      </c>
      <c r="G140" s="224">
        <v>1</v>
      </c>
    </row>
    <row r="141" spans="2:7" x14ac:dyDescent="0.2">
      <c r="B141" s="218"/>
      <c r="D141" s="238" t="s">
        <v>87</v>
      </c>
      <c r="E141" s="28">
        <v>1.55315044429153</v>
      </c>
      <c r="F141" s="4">
        <v>123</v>
      </c>
      <c r="G141" s="224">
        <v>1</v>
      </c>
    </row>
    <row r="142" spans="2:7" x14ac:dyDescent="0.2">
      <c r="B142" s="218"/>
      <c r="D142" s="238" t="s">
        <v>56</v>
      </c>
      <c r="E142" s="28">
        <v>1.24684181064367E-2</v>
      </c>
      <c r="F142" s="4">
        <v>1</v>
      </c>
      <c r="G142" s="224">
        <v>1</v>
      </c>
    </row>
    <row r="143" spans="2:7" x14ac:dyDescent="0.2">
      <c r="B143" s="218"/>
      <c r="D143" s="238" t="s">
        <v>94</v>
      </c>
      <c r="E143" s="28">
        <v>1.24684181064367E-2</v>
      </c>
      <c r="F143" s="4">
        <v>1</v>
      </c>
      <c r="G143" s="224">
        <v>1</v>
      </c>
    </row>
    <row r="144" spans="2:7" x14ac:dyDescent="0.2">
      <c r="B144" s="218"/>
      <c r="D144" s="238" t="s">
        <v>156</v>
      </c>
      <c r="E144" s="28">
        <v>4.0522856637835503E-2</v>
      </c>
      <c r="F144" s="4">
        <v>3</v>
      </c>
      <c r="G144" s="224">
        <v>1</v>
      </c>
    </row>
    <row r="145" spans="2:7" x14ac:dyDescent="0.2">
      <c r="B145" s="218"/>
      <c r="D145" s="238" t="s">
        <v>96</v>
      </c>
      <c r="E145" s="28">
        <v>0.57020914088934604</v>
      </c>
      <c r="F145" s="4">
        <v>90</v>
      </c>
      <c r="G145" s="224">
        <v>1</v>
      </c>
    </row>
    <row r="146" spans="2:7" x14ac:dyDescent="0.2">
      <c r="B146" s="218"/>
      <c r="D146" s="238" t="s">
        <v>59</v>
      </c>
      <c r="E146" s="28">
        <v>3071.3581198127922</v>
      </c>
      <c r="F146" s="4">
        <v>209431</v>
      </c>
      <c r="G146" s="224">
        <v>13</v>
      </c>
    </row>
    <row r="147" spans="2:7" ht="17" thickBot="1" x14ac:dyDescent="0.25">
      <c r="B147" s="218"/>
      <c r="D147" s="238" t="s">
        <v>104</v>
      </c>
      <c r="E147" s="28">
        <v>9.3573052436113306E-3</v>
      </c>
      <c r="F147" s="4">
        <v>1</v>
      </c>
      <c r="G147" s="224">
        <v>1</v>
      </c>
    </row>
    <row r="148" spans="2:7" ht="17" thickBot="1" x14ac:dyDescent="0.25">
      <c r="B148" s="218"/>
      <c r="C148" s="221" t="s">
        <v>200</v>
      </c>
      <c r="D148" s="232"/>
      <c r="E148" s="233">
        <v>1.6494682990014501E-2</v>
      </c>
      <c r="F148" s="234">
        <v>2</v>
      </c>
      <c r="G148" s="239">
        <v>1</v>
      </c>
    </row>
    <row r="149" spans="2:7" ht="17" thickBot="1" x14ac:dyDescent="0.25">
      <c r="B149" s="218"/>
      <c r="D149" s="238" t="s">
        <v>59</v>
      </c>
      <c r="E149" s="28">
        <v>1.6494682990014501E-2</v>
      </c>
      <c r="F149" s="4">
        <v>2</v>
      </c>
      <c r="G149" s="224">
        <v>1</v>
      </c>
    </row>
    <row r="150" spans="2:7" ht="17" thickBot="1" x14ac:dyDescent="0.25">
      <c r="B150" s="218"/>
      <c r="C150" s="221" t="s">
        <v>136</v>
      </c>
      <c r="D150" s="232"/>
      <c r="E150" s="233">
        <v>37990.405925047533</v>
      </c>
      <c r="F150" s="234">
        <v>171691</v>
      </c>
      <c r="G150" s="239">
        <v>183</v>
      </c>
    </row>
    <row r="151" spans="2:7" x14ac:dyDescent="0.2">
      <c r="B151" s="218"/>
      <c r="D151" s="238" t="s">
        <v>61</v>
      </c>
      <c r="E151" s="28">
        <v>0.32033542450517299</v>
      </c>
      <c r="F151" s="4">
        <v>212</v>
      </c>
      <c r="G151" s="224">
        <v>2</v>
      </c>
    </row>
    <row r="152" spans="2:7" x14ac:dyDescent="0.2">
      <c r="B152" s="218"/>
      <c r="D152" s="238" t="s">
        <v>62</v>
      </c>
      <c r="E152" s="28">
        <v>2.9231840744614601E-3</v>
      </c>
      <c r="F152" s="4">
        <v>23</v>
      </c>
      <c r="G152" s="224">
        <v>1</v>
      </c>
    </row>
    <row r="153" spans="2:7" x14ac:dyDescent="0.2">
      <c r="B153" s="218"/>
      <c r="D153" s="238" t="s">
        <v>182</v>
      </c>
      <c r="E153" s="28">
        <v>294.18665793165502</v>
      </c>
      <c r="F153" s="4">
        <v>824</v>
      </c>
      <c r="G153" s="224">
        <v>1</v>
      </c>
    </row>
    <row r="154" spans="2:7" x14ac:dyDescent="0.2">
      <c r="B154" s="218"/>
      <c r="D154" s="238" t="s">
        <v>149</v>
      </c>
      <c r="E154" s="28">
        <v>4.7746431082487098E-3</v>
      </c>
      <c r="F154" s="4">
        <v>22</v>
      </c>
      <c r="G154" s="224">
        <v>2</v>
      </c>
    </row>
    <row r="155" spans="2:7" x14ac:dyDescent="0.2">
      <c r="B155" s="218"/>
      <c r="D155" s="238" t="s">
        <v>68</v>
      </c>
      <c r="E155" s="28">
        <v>1096.7386238910237</v>
      </c>
      <c r="F155" s="4">
        <v>4170</v>
      </c>
      <c r="G155" s="224">
        <v>10</v>
      </c>
    </row>
    <row r="156" spans="2:7" x14ac:dyDescent="0.2">
      <c r="B156" s="218"/>
      <c r="D156" s="238" t="s">
        <v>70</v>
      </c>
      <c r="E156" s="28">
        <v>568.10312790889202</v>
      </c>
      <c r="F156" s="4">
        <v>3163</v>
      </c>
      <c r="G156" s="224">
        <v>8</v>
      </c>
    </row>
    <row r="157" spans="2:7" x14ac:dyDescent="0.2">
      <c r="B157" s="218"/>
      <c r="D157" s="238" t="s">
        <v>105</v>
      </c>
      <c r="E157" s="28">
        <v>2.2812560200691158E-4</v>
      </c>
      <c r="F157" s="4">
        <v>17</v>
      </c>
      <c r="G157" s="224">
        <v>3</v>
      </c>
    </row>
    <row r="158" spans="2:7" x14ac:dyDescent="0.2">
      <c r="B158" s="218"/>
      <c r="D158" s="238" t="s">
        <v>187</v>
      </c>
      <c r="E158" s="28">
        <v>2.0584872923791402E-2</v>
      </c>
      <c r="F158" s="4">
        <v>11</v>
      </c>
      <c r="G158" s="224">
        <v>1</v>
      </c>
    </row>
    <row r="159" spans="2:7" x14ac:dyDescent="0.2">
      <c r="B159" s="218"/>
      <c r="D159" s="238" t="s">
        <v>75</v>
      </c>
      <c r="E159" s="28">
        <v>1.3671875</v>
      </c>
      <c r="F159" s="4">
        <v>4</v>
      </c>
      <c r="G159" s="224">
        <v>1</v>
      </c>
    </row>
    <row r="160" spans="2:7" x14ac:dyDescent="0.2">
      <c r="B160" s="218"/>
      <c r="D160" s="238" t="s">
        <v>54</v>
      </c>
      <c r="E160" s="28">
        <v>0.46417715959250899</v>
      </c>
      <c r="F160" s="4">
        <v>158</v>
      </c>
      <c r="G160" s="224">
        <v>2</v>
      </c>
    </row>
    <row r="161" spans="2:7" x14ac:dyDescent="0.2">
      <c r="B161" s="218"/>
      <c r="D161" s="238" t="s">
        <v>78</v>
      </c>
      <c r="E161" s="28">
        <v>9.8362620342522789</v>
      </c>
      <c r="F161" s="4">
        <v>361</v>
      </c>
      <c r="G161" s="224">
        <v>6</v>
      </c>
    </row>
    <row r="162" spans="2:7" x14ac:dyDescent="0.2">
      <c r="B162" s="218"/>
      <c r="D162" s="238" t="s">
        <v>169</v>
      </c>
      <c r="E162" s="28">
        <v>7.8261829912662506E-5</v>
      </c>
      <c r="F162" s="4">
        <v>6</v>
      </c>
      <c r="G162" s="224">
        <v>1</v>
      </c>
    </row>
    <row r="163" spans="2:7" x14ac:dyDescent="0.2">
      <c r="B163" s="218"/>
      <c r="D163" s="238" t="s">
        <v>81</v>
      </c>
      <c r="E163" s="28">
        <v>7.2329693865030986</v>
      </c>
      <c r="F163" s="4">
        <v>61</v>
      </c>
      <c r="G163" s="224">
        <v>2</v>
      </c>
    </row>
    <row r="164" spans="2:7" x14ac:dyDescent="0.2">
      <c r="B164" s="218"/>
      <c r="D164" s="238" t="s">
        <v>82</v>
      </c>
      <c r="E164" s="28">
        <v>7.37227499485015E-4</v>
      </c>
      <c r="F164" s="4">
        <v>12</v>
      </c>
      <c r="G164" s="224">
        <v>1</v>
      </c>
    </row>
    <row r="165" spans="2:7" x14ac:dyDescent="0.2">
      <c r="B165" s="218"/>
      <c r="D165" s="238" t="s">
        <v>55</v>
      </c>
      <c r="E165" s="28">
        <v>8.5970703512430104E-3</v>
      </c>
      <c r="F165" s="4">
        <v>8</v>
      </c>
      <c r="G165" s="224">
        <v>1</v>
      </c>
    </row>
    <row r="166" spans="2:7" x14ac:dyDescent="0.2">
      <c r="B166" s="218"/>
      <c r="D166" s="238" t="s">
        <v>84</v>
      </c>
      <c r="E166" s="28">
        <v>331.19969743955778</v>
      </c>
      <c r="F166" s="4">
        <v>1007</v>
      </c>
      <c r="G166" s="224">
        <v>8</v>
      </c>
    </row>
    <row r="167" spans="2:7" x14ac:dyDescent="0.2">
      <c r="B167" s="218"/>
      <c r="D167" s="238" t="s">
        <v>86</v>
      </c>
      <c r="E167" s="28">
        <v>2.3873058147728402E-2</v>
      </c>
      <c r="F167" s="4">
        <v>40</v>
      </c>
      <c r="G167" s="224">
        <v>2</v>
      </c>
    </row>
    <row r="168" spans="2:7" x14ac:dyDescent="0.2">
      <c r="B168" s="218"/>
      <c r="D168" s="238" t="s">
        <v>172</v>
      </c>
      <c r="E168" s="28">
        <v>1.2159535661339701E-2</v>
      </c>
      <c r="F168" s="4">
        <v>2</v>
      </c>
      <c r="G168" s="224">
        <v>1</v>
      </c>
    </row>
    <row r="169" spans="2:7" x14ac:dyDescent="0.2">
      <c r="B169" s="218"/>
      <c r="D169" s="238" t="s">
        <v>57</v>
      </c>
      <c r="E169" s="28">
        <v>78.80816662684083</v>
      </c>
      <c r="F169" s="4">
        <v>864</v>
      </c>
      <c r="G169" s="224">
        <v>14</v>
      </c>
    </row>
    <row r="170" spans="2:7" x14ac:dyDescent="0.2">
      <c r="B170" s="218"/>
      <c r="D170" s="238" t="s">
        <v>156</v>
      </c>
      <c r="E170" s="28">
        <v>2.5476780720055062E-2</v>
      </c>
      <c r="F170" s="4">
        <v>15</v>
      </c>
      <c r="G170" s="224">
        <v>2</v>
      </c>
    </row>
    <row r="171" spans="2:7" x14ac:dyDescent="0.2">
      <c r="B171" s="218"/>
      <c r="D171" s="238" t="s">
        <v>96</v>
      </c>
      <c r="E171" s="28">
        <v>116.8125</v>
      </c>
      <c r="F171" s="4">
        <v>1246</v>
      </c>
      <c r="G171" s="224">
        <v>1</v>
      </c>
    </row>
    <row r="172" spans="2:7" x14ac:dyDescent="0.2">
      <c r="B172" s="218"/>
      <c r="D172" s="238" t="s">
        <v>97</v>
      </c>
      <c r="E172" s="28">
        <v>99.462942331097949</v>
      </c>
      <c r="F172" s="4">
        <v>633</v>
      </c>
      <c r="G172" s="224">
        <v>2</v>
      </c>
    </row>
    <row r="173" spans="2:7" x14ac:dyDescent="0.2">
      <c r="B173" s="218"/>
      <c r="D173" s="238" t="s">
        <v>58</v>
      </c>
      <c r="E173" s="28">
        <v>0.19863353203982101</v>
      </c>
      <c r="F173" s="4">
        <v>259</v>
      </c>
      <c r="G173" s="224">
        <v>3</v>
      </c>
    </row>
    <row r="174" spans="2:7" ht="17" thickBot="1" x14ac:dyDescent="0.25">
      <c r="B174" s="218"/>
      <c r="D174" s="238" t="s">
        <v>59</v>
      </c>
      <c r="E174" s="28">
        <v>35385.575211121657</v>
      </c>
      <c r="F174" s="4">
        <v>158573</v>
      </c>
      <c r="G174" s="224">
        <v>108</v>
      </c>
    </row>
    <row r="175" spans="2:7" ht="17" thickBot="1" x14ac:dyDescent="0.25">
      <c r="B175" s="218"/>
      <c r="C175" s="221" t="s">
        <v>139</v>
      </c>
      <c r="D175" s="232"/>
      <c r="E175" s="233">
        <v>521.13168320245916</v>
      </c>
      <c r="F175" s="234">
        <v>9063</v>
      </c>
      <c r="G175" s="239">
        <v>277</v>
      </c>
    </row>
    <row r="176" spans="2:7" x14ac:dyDescent="0.2">
      <c r="B176" s="218"/>
      <c r="D176" s="238" t="s">
        <v>61</v>
      </c>
      <c r="E176" s="28">
        <v>0.20458045601844699</v>
      </c>
      <c r="F176" s="4">
        <v>79</v>
      </c>
      <c r="G176" s="224">
        <v>2</v>
      </c>
    </row>
    <row r="177" spans="2:7" x14ac:dyDescent="0.2">
      <c r="B177" s="218"/>
      <c r="D177" s="238" t="s">
        <v>62</v>
      </c>
      <c r="E177" s="28">
        <v>15.412848873063911</v>
      </c>
      <c r="F177" s="4">
        <v>35</v>
      </c>
      <c r="G177" s="224">
        <v>3</v>
      </c>
    </row>
    <row r="178" spans="2:7" x14ac:dyDescent="0.2">
      <c r="B178" s="218"/>
      <c r="D178" s="238" t="s">
        <v>63</v>
      </c>
      <c r="E178" s="28">
        <v>8.5540441796183499E-3</v>
      </c>
      <c r="F178" s="4">
        <v>21</v>
      </c>
      <c r="G178" s="224">
        <v>3</v>
      </c>
    </row>
    <row r="179" spans="2:7" x14ac:dyDescent="0.2">
      <c r="B179" s="218"/>
      <c r="D179" s="238" t="s">
        <v>64</v>
      </c>
      <c r="E179" s="28">
        <v>4.2648250237107199E-3</v>
      </c>
      <c r="F179" s="4">
        <v>11</v>
      </c>
      <c r="G179" s="224">
        <v>1</v>
      </c>
    </row>
    <row r="180" spans="2:7" x14ac:dyDescent="0.2">
      <c r="B180" s="218"/>
      <c r="D180" s="238" t="s">
        <v>180</v>
      </c>
      <c r="E180" s="28">
        <v>4.0839714929461401E-3</v>
      </c>
      <c r="F180" s="4">
        <v>4</v>
      </c>
      <c r="G180" s="224">
        <v>1</v>
      </c>
    </row>
    <row r="181" spans="2:7" x14ac:dyDescent="0.2">
      <c r="B181" s="218"/>
      <c r="D181" s="238" t="s">
        <v>106</v>
      </c>
      <c r="E181" s="28">
        <v>268.52574765961589</v>
      </c>
      <c r="F181" s="4">
        <v>266</v>
      </c>
      <c r="G181" s="224">
        <v>6</v>
      </c>
    </row>
    <row r="182" spans="2:7" x14ac:dyDescent="0.2">
      <c r="B182" s="218"/>
      <c r="D182" s="238" t="s">
        <v>66</v>
      </c>
      <c r="E182" s="28">
        <v>8.6818449199199607E-3</v>
      </c>
      <c r="F182" s="4">
        <v>28</v>
      </c>
      <c r="G182" s="224">
        <v>2</v>
      </c>
    </row>
    <row r="183" spans="2:7" x14ac:dyDescent="0.2">
      <c r="B183" s="218"/>
      <c r="D183" s="238" t="s">
        <v>67</v>
      </c>
      <c r="E183" s="28">
        <v>2.1085860207676801E-2</v>
      </c>
      <c r="F183" s="4">
        <v>49</v>
      </c>
      <c r="G183" s="224">
        <v>4</v>
      </c>
    </row>
    <row r="184" spans="2:7" x14ac:dyDescent="0.2">
      <c r="B184" s="218"/>
      <c r="D184" s="238" t="s">
        <v>107</v>
      </c>
      <c r="E184" s="28">
        <v>1.8732622265815701E-5</v>
      </c>
      <c r="F184" s="4">
        <v>2</v>
      </c>
      <c r="G184" s="224">
        <v>1</v>
      </c>
    </row>
    <row r="185" spans="2:7" x14ac:dyDescent="0.2">
      <c r="B185" s="218"/>
      <c r="D185" s="238" t="s">
        <v>158</v>
      </c>
      <c r="E185" s="28">
        <v>4.1449656710028596E-3</v>
      </c>
      <c r="F185" s="4">
        <v>6</v>
      </c>
      <c r="G185" s="224">
        <v>1</v>
      </c>
    </row>
    <row r="186" spans="2:7" x14ac:dyDescent="0.2">
      <c r="B186" s="218"/>
      <c r="D186" s="238" t="s">
        <v>149</v>
      </c>
      <c r="E186" s="28">
        <v>4.2562382295727704E-3</v>
      </c>
      <c r="F186" s="4">
        <v>11</v>
      </c>
      <c r="G186" s="224">
        <v>1</v>
      </c>
    </row>
    <row r="187" spans="2:7" x14ac:dyDescent="0.2">
      <c r="B187" s="218"/>
      <c r="D187" s="238" t="s">
        <v>68</v>
      </c>
      <c r="E187" s="28">
        <v>0.26006594672799099</v>
      </c>
      <c r="F187" s="4">
        <v>93</v>
      </c>
      <c r="G187" s="224">
        <v>3</v>
      </c>
    </row>
    <row r="188" spans="2:7" x14ac:dyDescent="0.2">
      <c r="B188" s="218"/>
      <c r="D188" s="238" t="s">
        <v>69</v>
      </c>
      <c r="E188" s="28">
        <v>2.16179015114903E-2</v>
      </c>
      <c r="F188" s="4">
        <v>92</v>
      </c>
      <c r="G188" s="224">
        <v>4</v>
      </c>
    </row>
    <row r="189" spans="2:7" x14ac:dyDescent="0.2">
      <c r="B189" s="218"/>
      <c r="D189" s="238" t="s">
        <v>70</v>
      </c>
      <c r="E189" s="28">
        <v>7.2235663775354517</v>
      </c>
      <c r="F189" s="4">
        <v>589</v>
      </c>
      <c r="G189" s="224">
        <v>31</v>
      </c>
    </row>
    <row r="190" spans="2:7" x14ac:dyDescent="0.2">
      <c r="B190" s="218"/>
      <c r="D190" s="238" t="s">
        <v>71</v>
      </c>
      <c r="E190" s="28">
        <v>0.15504837874323099</v>
      </c>
      <c r="F190" s="4">
        <v>466</v>
      </c>
      <c r="G190" s="224">
        <v>20</v>
      </c>
    </row>
    <row r="191" spans="2:7" x14ac:dyDescent="0.2">
      <c r="B191" s="218"/>
      <c r="D191" s="238" t="s">
        <v>185</v>
      </c>
      <c r="E191" s="28">
        <v>4.3069627135991998E-3</v>
      </c>
      <c r="F191" s="4">
        <v>13</v>
      </c>
      <c r="G191" s="224">
        <v>1</v>
      </c>
    </row>
    <row r="192" spans="2:7" x14ac:dyDescent="0.2">
      <c r="B192" s="218"/>
      <c r="D192" s="238" t="s">
        <v>105</v>
      </c>
      <c r="E192" s="28">
        <v>9.3448907136917097E-6</v>
      </c>
      <c r="F192" s="4">
        <v>1</v>
      </c>
      <c r="G192" s="224">
        <v>1</v>
      </c>
    </row>
    <row r="193" spans="2:7" x14ac:dyDescent="0.2">
      <c r="B193" s="218"/>
      <c r="D193" s="238" t="s">
        <v>72</v>
      </c>
      <c r="E193" s="28">
        <v>5.6925940327346297E-2</v>
      </c>
      <c r="F193" s="4">
        <v>150</v>
      </c>
      <c r="G193" s="224">
        <v>3</v>
      </c>
    </row>
    <row r="194" spans="2:7" x14ac:dyDescent="0.2">
      <c r="B194" s="218"/>
      <c r="D194" s="238" t="s">
        <v>73</v>
      </c>
      <c r="E194" s="28">
        <v>1.8494203686714101E-5</v>
      </c>
      <c r="F194" s="4">
        <v>2</v>
      </c>
      <c r="G194" s="224">
        <v>1</v>
      </c>
    </row>
    <row r="195" spans="2:7" x14ac:dyDescent="0.2">
      <c r="B195" s="218"/>
      <c r="D195" s="238" t="s">
        <v>74</v>
      </c>
      <c r="E195" s="28">
        <v>5.6073069572448703E-5</v>
      </c>
      <c r="F195" s="4">
        <v>6</v>
      </c>
      <c r="G195" s="224">
        <v>1</v>
      </c>
    </row>
    <row r="196" spans="2:7" x14ac:dyDescent="0.2">
      <c r="B196" s="218"/>
      <c r="D196" s="238" t="s">
        <v>75</v>
      </c>
      <c r="E196" s="28">
        <v>9.0680957771837697E-2</v>
      </c>
      <c r="F196" s="4">
        <v>119</v>
      </c>
      <c r="G196" s="224">
        <v>4</v>
      </c>
    </row>
    <row r="197" spans="2:7" x14ac:dyDescent="0.2">
      <c r="B197" s="218"/>
      <c r="D197" s="238" t="s">
        <v>76</v>
      </c>
      <c r="E197" s="28">
        <v>0.31025154888629902</v>
      </c>
      <c r="F197" s="4">
        <v>332</v>
      </c>
      <c r="G197" s="224">
        <v>6</v>
      </c>
    </row>
    <row r="198" spans="2:7" x14ac:dyDescent="0.2">
      <c r="B198" s="218"/>
      <c r="D198" s="238" t="s">
        <v>168</v>
      </c>
      <c r="E198" s="28">
        <v>4.1761202737689001E-3</v>
      </c>
      <c r="F198" s="4">
        <v>8</v>
      </c>
      <c r="G198" s="224">
        <v>1</v>
      </c>
    </row>
    <row r="199" spans="2:7" x14ac:dyDescent="0.2">
      <c r="B199" s="218"/>
      <c r="D199" s="238" t="s">
        <v>54</v>
      </c>
      <c r="E199" s="28">
        <v>0.22602902632206601</v>
      </c>
      <c r="F199" s="4">
        <v>375</v>
      </c>
      <c r="G199" s="224">
        <v>7</v>
      </c>
    </row>
    <row r="200" spans="2:7" x14ac:dyDescent="0.2">
      <c r="B200" s="218"/>
      <c r="D200" s="238" t="s">
        <v>78</v>
      </c>
      <c r="E200" s="28">
        <v>2.11575590074062E-2</v>
      </c>
      <c r="F200" s="4">
        <v>65</v>
      </c>
      <c r="G200" s="224">
        <v>9</v>
      </c>
    </row>
    <row r="201" spans="2:7" x14ac:dyDescent="0.2">
      <c r="B201" s="218"/>
      <c r="D201" s="238" t="s">
        <v>80</v>
      </c>
      <c r="E201" s="28">
        <v>9.4454735517501797E-6</v>
      </c>
      <c r="F201" s="4">
        <v>1</v>
      </c>
      <c r="G201" s="224">
        <v>1</v>
      </c>
    </row>
    <row r="202" spans="2:7" x14ac:dyDescent="0.2">
      <c r="B202" s="218"/>
      <c r="D202" s="238" t="s">
        <v>189</v>
      </c>
      <c r="E202" s="28">
        <v>9.5274299383163401E-6</v>
      </c>
      <c r="F202" s="4">
        <v>1</v>
      </c>
      <c r="G202" s="224">
        <v>1</v>
      </c>
    </row>
    <row r="203" spans="2:7" x14ac:dyDescent="0.2">
      <c r="B203" s="218"/>
      <c r="D203" s="238" t="s">
        <v>81</v>
      </c>
      <c r="E203" s="28">
        <v>2.328836129978292</v>
      </c>
      <c r="F203" s="4">
        <v>176</v>
      </c>
      <c r="G203" s="224">
        <v>6</v>
      </c>
    </row>
    <row r="204" spans="2:7" x14ac:dyDescent="0.2">
      <c r="B204" s="218"/>
      <c r="D204" s="238" t="s">
        <v>82</v>
      </c>
      <c r="E204" s="28">
        <v>4.3114346479997003</v>
      </c>
      <c r="F204" s="4">
        <v>254</v>
      </c>
      <c r="G204" s="224">
        <v>10</v>
      </c>
    </row>
    <row r="205" spans="2:7" x14ac:dyDescent="0.2">
      <c r="B205" s="218"/>
      <c r="D205" s="238" t="s">
        <v>108</v>
      </c>
      <c r="E205" s="28">
        <v>8.5391988977789792E-3</v>
      </c>
      <c r="F205" s="4">
        <v>9</v>
      </c>
      <c r="G205" s="224">
        <v>1</v>
      </c>
    </row>
    <row r="206" spans="2:7" x14ac:dyDescent="0.2">
      <c r="B206" s="218"/>
      <c r="D206" s="238" t="s">
        <v>55</v>
      </c>
      <c r="E206" s="28">
        <v>2.5294383987784299E-2</v>
      </c>
      <c r="F206" s="4">
        <v>62</v>
      </c>
      <c r="G206" s="224">
        <v>4</v>
      </c>
    </row>
    <row r="207" spans="2:7" x14ac:dyDescent="0.2">
      <c r="B207" s="218"/>
      <c r="D207" s="238" t="s">
        <v>192</v>
      </c>
      <c r="E207" s="28">
        <v>4.6806409955024699E-5</v>
      </c>
      <c r="F207" s="4">
        <v>5</v>
      </c>
      <c r="G207" s="224">
        <v>1</v>
      </c>
    </row>
    <row r="208" spans="2:7" x14ac:dyDescent="0.2">
      <c r="B208" s="218"/>
      <c r="D208" s="238" t="s">
        <v>170</v>
      </c>
      <c r="E208" s="28">
        <v>4.25061210989952E-3</v>
      </c>
      <c r="F208" s="4">
        <v>13</v>
      </c>
      <c r="G208" s="224">
        <v>1</v>
      </c>
    </row>
    <row r="209" spans="2:7" x14ac:dyDescent="0.2">
      <c r="B209" s="218"/>
      <c r="D209" s="238" t="s">
        <v>193</v>
      </c>
      <c r="E209" s="28">
        <v>4.2721573263406701E-3</v>
      </c>
      <c r="F209" s="4">
        <v>11</v>
      </c>
      <c r="G209" s="224">
        <v>1</v>
      </c>
    </row>
    <row r="210" spans="2:7" x14ac:dyDescent="0.2">
      <c r="B210" s="218"/>
      <c r="D210" s="238" t="s">
        <v>83</v>
      </c>
      <c r="E210" s="28">
        <v>2.1087673492729601E-2</v>
      </c>
      <c r="F210" s="4">
        <v>30</v>
      </c>
      <c r="G210" s="224">
        <v>2</v>
      </c>
    </row>
    <row r="211" spans="2:7" x14ac:dyDescent="0.2">
      <c r="B211" s="218"/>
      <c r="D211" s="238" t="s">
        <v>196</v>
      </c>
      <c r="E211" s="28">
        <v>2.0624525845050801E-2</v>
      </c>
      <c r="F211" s="4">
        <v>23</v>
      </c>
      <c r="G211" s="224">
        <v>1</v>
      </c>
    </row>
    <row r="212" spans="2:7" x14ac:dyDescent="0.2">
      <c r="B212" s="218"/>
      <c r="D212" s="238" t="s">
        <v>84</v>
      </c>
      <c r="E212" s="28">
        <v>2.1014190278947301E-2</v>
      </c>
      <c r="F212" s="4">
        <v>58</v>
      </c>
      <c r="G212" s="224">
        <v>6</v>
      </c>
    </row>
    <row r="213" spans="2:7" x14ac:dyDescent="0.2">
      <c r="B213" s="218"/>
      <c r="D213" s="238" t="s">
        <v>198</v>
      </c>
      <c r="E213" s="28">
        <v>8.0963203683495494E-2</v>
      </c>
      <c r="F213" s="4">
        <v>32</v>
      </c>
      <c r="G213" s="224">
        <v>2</v>
      </c>
    </row>
    <row r="214" spans="2:7" x14ac:dyDescent="0.2">
      <c r="B214" s="218"/>
      <c r="D214" s="238" t="s">
        <v>150</v>
      </c>
      <c r="E214" s="28">
        <v>4.1389036923646901E-3</v>
      </c>
      <c r="F214" s="4">
        <v>9</v>
      </c>
      <c r="G214" s="224">
        <v>1</v>
      </c>
    </row>
    <row r="215" spans="2:7" x14ac:dyDescent="0.2">
      <c r="B215" s="218"/>
      <c r="D215" s="238" t="s">
        <v>86</v>
      </c>
      <c r="E215" s="28">
        <v>2.2289969846606241</v>
      </c>
      <c r="F215" s="4">
        <v>190</v>
      </c>
      <c r="G215" s="224">
        <v>7</v>
      </c>
    </row>
    <row r="216" spans="2:7" x14ac:dyDescent="0.2">
      <c r="B216" s="218"/>
      <c r="D216" s="238" t="s">
        <v>151</v>
      </c>
      <c r="E216" s="28">
        <v>4.6831844374537399E-3</v>
      </c>
      <c r="F216" s="4">
        <v>53</v>
      </c>
      <c r="G216" s="224">
        <v>1</v>
      </c>
    </row>
    <row r="217" spans="2:7" x14ac:dyDescent="0.2">
      <c r="B217" s="218"/>
      <c r="D217" s="238" t="s">
        <v>173</v>
      </c>
      <c r="E217" s="28">
        <v>1.2461641803383799E-2</v>
      </c>
      <c r="F217" s="4">
        <v>9</v>
      </c>
      <c r="G217" s="224">
        <v>1</v>
      </c>
    </row>
    <row r="218" spans="2:7" x14ac:dyDescent="0.2">
      <c r="B218" s="218"/>
      <c r="D218" s="238" t="s">
        <v>90</v>
      </c>
      <c r="E218" s="28">
        <v>1.28075685352087E-2</v>
      </c>
      <c r="F218" s="4">
        <v>40</v>
      </c>
      <c r="G218" s="224">
        <v>6</v>
      </c>
    </row>
    <row r="219" spans="2:7" x14ac:dyDescent="0.2">
      <c r="B219" s="218"/>
      <c r="D219" s="238" t="s">
        <v>91</v>
      </c>
      <c r="E219" s="28">
        <v>1.48809514939785E-4</v>
      </c>
      <c r="F219" s="4">
        <v>16</v>
      </c>
      <c r="G219" s="224">
        <v>1</v>
      </c>
    </row>
    <row r="220" spans="2:7" x14ac:dyDescent="0.2">
      <c r="B220" s="218"/>
      <c r="D220" s="238" t="s">
        <v>56</v>
      </c>
      <c r="E220" s="28">
        <v>1.9026920199394199E-5</v>
      </c>
      <c r="F220" s="4">
        <v>2</v>
      </c>
      <c r="G220" s="224">
        <v>1</v>
      </c>
    </row>
    <row r="221" spans="2:7" x14ac:dyDescent="0.2">
      <c r="B221" s="218"/>
      <c r="D221" s="238" t="s">
        <v>112</v>
      </c>
      <c r="E221" s="28">
        <v>5.5632553994655602E-5</v>
      </c>
      <c r="F221" s="4">
        <v>6</v>
      </c>
      <c r="G221" s="224">
        <v>1</v>
      </c>
    </row>
    <row r="222" spans="2:7" x14ac:dyDescent="0.2">
      <c r="B222" s="218"/>
      <c r="D222" s="238" t="s">
        <v>92</v>
      </c>
      <c r="E222" s="28">
        <v>8.2377962768077795E-2</v>
      </c>
      <c r="F222" s="4">
        <v>54</v>
      </c>
      <c r="G222" s="224">
        <v>4</v>
      </c>
    </row>
    <row r="223" spans="2:7" x14ac:dyDescent="0.2">
      <c r="B223" s="218"/>
      <c r="D223" s="238" t="s">
        <v>93</v>
      </c>
      <c r="E223" s="28">
        <v>7.7999928034842E-2</v>
      </c>
      <c r="F223" s="4">
        <v>70</v>
      </c>
      <c r="G223" s="224">
        <v>1</v>
      </c>
    </row>
    <row r="224" spans="2:7" x14ac:dyDescent="0.2">
      <c r="B224" s="218"/>
      <c r="D224" s="238" t="s">
        <v>94</v>
      </c>
      <c r="E224" s="28">
        <v>4.2567448690533603E-3</v>
      </c>
      <c r="F224" s="4">
        <v>9</v>
      </c>
      <c r="G224" s="224">
        <v>1</v>
      </c>
    </row>
    <row r="225" spans="2:7" x14ac:dyDescent="0.2">
      <c r="B225" s="218"/>
      <c r="D225" s="238" t="s">
        <v>95</v>
      </c>
      <c r="E225" s="28">
        <v>1.8794089555740299E-5</v>
      </c>
      <c r="F225" s="4">
        <v>2</v>
      </c>
      <c r="G225" s="224">
        <v>1</v>
      </c>
    </row>
    <row r="226" spans="2:7" x14ac:dyDescent="0.2">
      <c r="B226" s="218"/>
      <c r="D226" s="238" t="s">
        <v>199</v>
      </c>
      <c r="E226" s="28">
        <v>8.8018793612718495E-3</v>
      </c>
      <c r="F226" s="4">
        <v>31</v>
      </c>
      <c r="G226" s="224">
        <v>1</v>
      </c>
    </row>
    <row r="227" spans="2:7" x14ac:dyDescent="0.2">
      <c r="B227" s="218"/>
      <c r="D227" s="238" t="s">
        <v>57</v>
      </c>
      <c r="E227" s="28">
        <v>9.1309848241507993E-2</v>
      </c>
      <c r="F227" s="4">
        <v>117</v>
      </c>
      <c r="G227" s="224">
        <v>4</v>
      </c>
    </row>
    <row r="228" spans="2:7" x14ac:dyDescent="0.2">
      <c r="B228" s="218"/>
      <c r="D228" s="238" t="s">
        <v>113</v>
      </c>
      <c r="E228" s="28">
        <v>7.7973015606403295E-2</v>
      </c>
      <c r="F228" s="4">
        <v>52</v>
      </c>
      <c r="G228" s="224">
        <v>1</v>
      </c>
    </row>
    <row r="229" spans="2:7" x14ac:dyDescent="0.2">
      <c r="B229" s="218"/>
      <c r="D229" s="238" t="s">
        <v>96</v>
      </c>
      <c r="E229" s="28">
        <v>112.55584348644979</v>
      </c>
      <c r="F229" s="4">
        <v>432</v>
      </c>
      <c r="G229" s="224">
        <v>2</v>
      </c>
    </row>
    <row r="230" spans="2:7" x14ac:dyDescent="0.2">
      <c r="B230" s="218"/>
      <c r="D230" s="238" t="s">
        <v>97</v>
      </c>
      <c r="E230" s="28">
        <v>2.08292566239833E-2</v>
      </c>
      <c r="F230" s="4">
        <v>22</v>
      </c>
      <c r="G230" s="224">
        <v>2</v>
      </c>
    </row>
    <row r="231" spans="2:7" x14ac:dyDescent="0.2">
      <c r="B231" s="218"/>
      <c r="D231" s="238" t="s">
        <v>115</v>
      </c>
      <c r="E231" s="28">
        <v>1.22831538319587E-2</v>
      </c>
      <c r="F231" s="4">
        <v>23</v>
      </c>
      <c r="G231" s="224">
        <v>2</v>
      </c>
    </row>
    <row r="232" spans="2:7" x14ac:dyDescent="0.2">
      <c r="B232" s="218"/>
      <c r="D232" s="238" t="s">
        <v>98</v>
      </c>
      <c r="E232" s="28">
        <v>4.2175874114036499E-3</v>
      </c>
      <c r="F232" s="4">
        <v>8</v>
      </c>
      <c r="G232" s="224">
        <v>1</v>
      </c>
    </row>
    <row r="233" spans="2:7" x14ac:dyDescent="0.2">
      <c r="B233" s="218"/>
      <c r="D233" s="238" t="s">
        <v>99</v>
      </c>
      <c r="E233" s="28">
        <v>5.0823422148823703E-2</v>
      </c>
      <c r="F233" s="4">
        <v>108</v>
      </c>
      <c r="G233" s="224">
        <v>6</v>
      </c>
    </row>
    <row r="234" spans="2:7" x14ac:dyDescent="0.2">
      <c r="B234" s="218"/>
      <c r="D234" s="238" t="s">
        <v>100</v>
      </c>
      <c r="E234" s="28">
        <v>6.6202655434608404E-2</v>
      </c>
      <c r="F234" s="4">
        <v>50</v>
      </c>
      <c r="G234" s="224">
        <v>3</v>
      </c>
    </row>
    <row r="235" spans="2:7" x14ac:dyDescent="0.2">
      <c r="B235" s="218"/>
      <c r="D235" s="238" t="s">
        <v>101</v>
      </c>
      <c r="E235" s="28">
        <v>4.1854428127408002E-3</v>
      </c>
      <c r="F235" s="4">
        <v>9</v>
      </c>
      <c r="G235" s="224">
        <v>1</v>
      </c>
    </row>
    <row r="236" spans="2:7" x14ac:dyDescent="0.2">
      <c r="B236" s="218"/>
      <c r="D236" s="238" t="s">
        <v>58</v>
      </c>
      <c r="E236" s="28">
        <v>0.53107139281928495</v>
      </c>
      <c r="F236" s="4">
        <v>306</v>
      </c>
      <c r="G236" s="224">
        <v>5</v>
      </c>
    </row>
    <row r="237" spans="2:7" x14ac:dyDescent="0.2">
      <c r="B237" s="218"/>
      <c r="D237" s="238" t="s">
        <v>59</v>
      </c>
      <c r="E237" s="28">
        <v>105.7772099515422</v>
      </c>
      <c r="F237" s="4">
        <v>3796</v>
      </c>
      <c r="G237" s="224">
        <v>60</v>
      </c>
    </row>
    <row r="238" spans="2:7" x14ac:dyDescent="0.2">
      <c r="B238" s="218"/>
      <c r="D238" s="238" t="s">
        <v>60</v>
      </c>
      <c r="E238" s="28">
        <v>2.8002075850963501E-5</v>
      </c>
      <c r="F238" s="4">
        <v>3</v>
      </c>
      <c r="G238" s="224">
        <v>1</v>
      </c>
    </row>
    <row r="239" spans="2:7" x14ac:dyDescent="0.2">
      <c r="B239" s="218"/>
      <c r="D239" s="238" t="s">
        <v>102</v>
      </c>
      <c r="E239" s="28">
        <v>2.3126509040594101E-4</v>
      </c>
      <c r="F239" s="4">
        <v>25</v>
      </c>
      <c r="G239" s="224">
        <v>1</v>
      </c>
    </row>
    <row r="240" spans="2:7" x14ac:dyDescent="0.2">
      <c r="B240" s="218"/>
      <c r="D240" s="238" t="s">
        <v>103</v>
      </c>
      <c r="E240" s="28">
        <v>2.9392121359705901E-2</v>
      </c>
      <c r="F240" s="4">
        <v>77</v>
      </c>
      <c r="G240" s="224">
        <v>4</v>
      </c>
    </row>
    <row r="241" spans="2:7" x14ac:dyDescent="0.2">
      <c r="B241" s="218"/>
      <c r="D241" s="238" t="s">
        <v>104</v>
      </c>
      <c r="E241" s="28">
        <v>7.0529514923691694E-2</v>
      </c>
      <c r="F241" s="4">
        <v>36</v>
      </c>
      <c r="G241" s="224">
        <v>2</v>
      </c>
    </row>
    <row r="242" spans="2:7" ht="17" thickBot="1" x14ac:dyDescent="0.25">
      <c r="B242" s="218"/>
      <c r="D242" s="238" t="s">
        <v>201</v>
      </c>
      <c r="E242" s="28">
        <v>4.2254189029335898E-3</v>
      </c>
      <c r="F242" s="4">
        <v>10</v>
      </c>
      <c r="G242" s="224">
        <v>1</v>
      </c>
    </row>
    <row r="243" spans="2:7" ht="17" thickBot="1" x14ac:dyDescent="0.25">
      <c r="B243" s="243" t="s">
        <v>2</v>
      </c>
      <c r="C243" s="220"/>
      <c r="D243" s="220"/>
      <c r="E243" s="240">
        <v>2718.6630748072566</v>
      </c>
      <c r="F243" s="241">
        <v>2756214</v>
      </c>
      <c r="G243" s="242">
        <v>19</v>
      </c>
    </row>
    <row r="244" spans="2:7" ht="18" thickTop="1" thickBot="1" x14ac:dyDescent="0.25">
      <c r="B244" s="218"/>
      <c r="C244" s="244" t="s">
        <v>43</v>
      </c>
      <c r="E244" s="235">
        <v>709.28804419562027</v>
      </c>
      <c r="F244" s="236">
        <v>991561</v>
      </c>
      <c r="G244" s="237">
        <v>14</v>
      </c>
    </row>
    <row r="245" spans="2:7" x14ac:dyDescent="0.2">
      <c r="B245" s="218"/>
      <c r="D245" s="238" t="s">
        <v>64</v>
      </c>
      <c r="E245" s="28">
        <v>2.7856563748791801</v>
      </c>
      <c r="F245" s="4">
        <v>3136</v>
      </c>
      <c r="G245" s="224">
        <v>1</v>
      </c>
    </row>
    <row r="246" spans="2:7" x14ac:dyDescent="0.2">
      <c r="B246" s="218"/>
      <c r="D246" s="238" t="s">
        <v>161</v>
      </c>
      <c r="E246" s="28">
        <v>2.0046066492795901E-4</v>
      </c>
      <c r="F246" s="4">
        <v>1</v>
      </c>
      <c r="G246" s="224">
        <v>1</v>
      </c>
    </row>
    <row r="247" spans="2:7" x14ac:dyDescent="0.2">
      <c r="B247" s="218"/>
      <c r="D247" s="238" t="s">
        <v>68</v>
      </c>
      <c r="E247" s="28">
        <v>0.24816188775002901</v>
      </c>
      <c r="F247" s="4">
        <v>135</v>
      </c>
      <c r="G247" s="224">
        <v>1</v>
      </c>
    </row>
    <row r="248" spans="2:7" x14ac:dyDescent="0.2">
      <c r="B248" s="218"/>
      <c r="D248" s="238" t="s">
        <v>70</v>
      </c>
      <c r="E248" s="28">
        <v>513.4113871110593</v>
      </c>
      <c r="F248" s="4">
        <v>715368</v>
      </c>
      <c r="G248" s="224">
        <v>2</v>
      </c>
    </row>
    <row r="249" spans="2:7" x14ac:dyDescent="0.2">
      <c r="B249" s="218"/>
      <c r="D249" s="238" t="s">
        <v>197</v>
      </c>
      <c r="E249" s="28">
        <v>192.56345187127499</v>
      </c>
      <c r="F249" s="4">
        <v>271519</v>
      </c>
      <c r="G249" s="224">
        <v>1</v>
      </c>
    </row>
    <row r="250" spans="2:7" x14ac:dyDescent="0.2">
      <c r="B250" s="218"/>
      <c r="D250" s="238" t="s">
        <v>96</v>
      </c>
      <c r="E250" s="28">
        <v>1.2168208137154499E-2</v>
      </c>
      <c r="F250" s="4">
        <v>362</v>
      </c>
      <c r="G250" s="224">
        <v>1</v>
      </c>
    </row>
    <row r="251" spans="2:7" x14ac:dyDescent="0.2">
      <c r="B251" s="218"/>
      <c r="D251" s="238" t="s">
        <v>115</v>
      </c>
      <c r="E251" s="28">
        <v>1.8429942429065699E-4</v>
      </c>
      <c r="F251" s="4">
        <v>4</v>
      </c>
      <c r="G251" s="224">
        <v>1</v>
      </c>
    </row>
    <row r="252" spans="2:7" ht="17" thickBot="1" x14ac:dyDescent="0.25">
      <c r="B252" s="218"/>
      <c r="D252" s="238" t="s">
        <v>59</v>
      </c>
      <c r="E252" s="28">
        <v>0.26683398243039752</v>
      </c>
      <c r="F252" s="4">
        <v>1036</v>
      </c>
      <c r="G252" s="224">
        <v>6</v>
      </c>
    </row>
    <row r="253" spans="2:7" ht="17" thickBot="1" x14ac:dyDescent="0.25">
      <c r="B253" s="218"/>
      <c r="C253" s="221" t="s">
        <v>45</v>
      </c>
      <c r="D253" s="232"/>
      <c r="E253" s="233">
        <v>2009.3750306116365</v>
      </c>
      <c r="F253" s="234">
        <v>1764653</v>
      </c>
      <c r="G253" s="239">
        <v>5</v>
      </c>
    </row>
    <row r="254" spans="2:7" x14ac:dyDescent="0.2">
      <c r="B254" s="218"/>
      <c r="D254" s="238" t="s">
        <v>64</v>
      </c>
      <c r="E254" s="28">
        <v>0.450058802962303</v>
      </c>
      <c r="F254" s="4">
        <v>1022</v>
      </c>
      <c r="G254" s="224">
        <v>1</v>
      </c>
    </row>
    <row r="255" spans="2:7" x14ac:dyDescent="0.2">
      <c r="B255" s="218"/>
      <c r="D255" s="238" t="s">
        <v>70</v>
      </c>
      <c r="E255" s="28">
        <v>2008.88922300748</v>
      </c>
      <c r="F255" s="4">
        <v>1763525</v>
      </c>
      <c r="G255" s="224">
        <v>3</v>
      </c>
    </row>
    <row r="256" spans="2:7" ht="17" thickBot="1" x14ac:dyDescent="0.25">
      <c r="B256" s="218"/>
      <c r="D256" s="238" t="s">
        <v>59</v>
      </c>
      <c r="E256" s="28">
        <v>3.5748801194131298E-2</v>
      </c>
      <c r="F256" s="4">
        <v>106</v>
      </c>
      <c r="G256" s="224">
        <v>1</v>
      </c>
    </row>
    <row r="257" spans="2:7" ht="17" thickBot="1" x14ac:dyDescent="0.25">
      <c r="B257" s="243" t="s">
        <v>3</v>
      </c>
      <c r="C257" s="220"/>
      <c r="D257" s="220"/>
      <c r="E257" s="240">
        <v>29596.831599342622</v>
      </c>
      <c r="F257" s="241">
        <v>17658305</v>
      </c>
      <c r="G257" s="242">
        <v>215</v>
      </c>
    </row>
    <row r="258" spans="2:7" ht="18" thickTop="1" thickBot="1" x14ac:dyDescent="0.25">
      <c r="B258" s="218"/>
      <c r="C258" s="203" t="s">
        <v>154</v>
      </c>
      <c r="E258" s="235">
        <v>1.7421449087560099</v>
      </c>
      <c r="F258" s="236">
        <v>1</v>
      </c>
      <c r="G258" s="237">
        <v>1</v>
      </c>
    </row>
    <row r="259" spans="2:7" ht="17" thickBot="1" x14ac:dyDescent="0.25">
      <c r="B259" s="218"/>
      <c r="D259" s="238" t="s">
        <v>59</v>
      </c>
      <c r="E259" s="28">
        <v>1.7421449087560099</v>
      </c>
      <c r="F259" s="4">
        <v>1</v>
      </c>
      <c r="G259" s="224">
        <v>1</v>
      </c>
    </row>
    <row r="260" spans="2:7" ht="17" thickBot="1" x14ac:dyDescent="0.25">
      <c r="B260" s="218"/>
      <c r="C260" s="221" t="s">
        <v>152</v>
      </c>
      <c r="D260" s="232"/>
      <c r="E260" s="233">
        <v>0.35467074997723103</v>
      </c>
      <c r="F260" s="234">
        <v>2</v>
      </c>
      <c r="G260" s="239">
        <v>1</v>
      </c>
    </row>
    <row r="261" spans="2:7" ht="17" thickBot="1" x14ac:dyDescent="0.25">
      <c r="B261" s="218"/>
      <c r="D261" s="238" t="s">
        <v>96</v>
      </c>
      <c r="E261" s="28">
        <v>0.35467074997723103</v>
      </c>
      <c r="F261" s="4">
        <v>2</v>
      </c>
      <c r="G261" s="224">
        <v>1</v>
      </c>
    </row>
    <row r="262" spans="2:7" ht="17" thickBot="1" x14ac:dyDescent="0.25">
      <c r="B262" s="218"/>
      <c r="C262" s="221" t="s">
        <v>47</v>
      </c>
      <c r="D262" s="232"/>
      <c r="E262" s="233">
        <v>552.62122292257686</v>
      </c>
      <c r="F262" s="234">
        <v>823634</v>
      </c>
      <c r="G262" s="239">
        <v>65</v>
      </c>
    </row>
    <row r="263" spans="2:7" x14ac:dyDescent="0.2">
      <c r="B263" s="218"/>
      <c r="C263" s="279"/>
      <c r="D263" s="283" t="s">
        <v>62</v>
      </c>
      <c r="E263" s="280">
        <v>0.42990735918283401</v>
      </c>
      <c r="F263" s="281">
        <v>2192</v>
      </c>
      <c r="G263" s="258">
        <v>1</v>
      </c>
    </row>
    <row r="264" spans="2:7" x14ac:dyDescent="0.2">
      <c r="B264" s="218"/>
      <c r="C264" s="279"/>
      <c r="D264" s="283" t="s">
        <v>63</v>
      </c>
      <c r="E264" s="280">
        <v>9.06580844894051E-2</v>
      </c>
      <c r="F264" s="281">
        <v>433</v>
      </c>
      <c r="G264" s="258">
        <v>1</v>
      </c>
    </row>
    <row r="265" spans="2:7" x14ac:dyDescent="0.2">
      <c r="B265" s="218"/>
      <c r="C265" s="279"/>
      <c r="D265" s="283" t="s">
        <v>64</v>
      </c>
      <c r="E265" s="280">
        <v>0.24690777622163201</v>
      </c>
      <c r="F265" s="281">
        <v>1355</v>
      </c>
      <c r="G265" s="258">
        <v>1</v>
      </c>
    </row>
    <row r="266" spans="2:7" x14ac:dyDescent="0.2">
      <c r="B266" s="218"/>
      <c r="C266" s="279"/>
      <c r="D266" s="283" t="s">
        <v>65</v>
      </c>
      <c r="E266" s="280">
        <v>2.2349040955304999E-4</v>
      </c>
      <c r="F266" s="281">
        <v>0</v>
      </c>
      <c r="G266" s="258">
        <v>2</v>
      </c>
    </row>
    <row r="267" spans="2:7" x14ac:dyDescent="0.2">
      <c r="B267" s="218"/>
      <c r="C267" s="279"/>
      <c r="D267" s="283" t="s">
        <v>181</v>
      </c>
      <c r="E267" s="280">
        <v>9.4648450613021796E-5</v>
      </c>
      <c r="F267" s="281">
        <v>0</v>
      </c>
      <c r="G267" s="258">
        <v>1</v>
      </c>
    </row>
    <row r="268" spans="2:7" x14ac:dyDescent="0.2">
      <c r="B268" s="218"/>
      <c r="C268" s="279"/>
      <c r="D268" s="283" t="s">
        <v>66</v>
      </c>
      <c r="E268" s="280">
        <v>1.3059936463832801E-4</v>
      </c>
      <c r="F268" s="281">
        <v>0</v>
      </c>
      <c r="G268" s="258">
        <v>1</v>
      </c>
    </row>
    <row r="269" spans="2:7" x14ac:dyDescent="0.2">
      <c r="B269" s="218"/>
      <c r="C269" s="279"/>
      <c r="D269" s="283" t="s">
        <v>67</v>
      </c>
      <c r="E269" s="280">
        <v>0.11103753000497808</v>
      </c>
      <c r="F269" s="281">
        <v>507</v>
      </c>
      <c r="G269" s="258">
        <v>10</v>
      </c>
    </row>
    <row r="270" spans="2:7" x14ac:dyDescent="0.2">
      <c r="B270" s="218"/>
      <c r="C270" s="279"/>
      <c r="D270" s="283" t="s">
        <v>68</v>
      </c>
      <c r="E270" s="280">
        <v>9.4650313258171E-5</v>
      </c>
      <c r="F270" s="281">
        <v>0</v>
      </c>
      <c r="G270" s="258">
        <v>1</v>
      </c>
    </row>
    <row r="271" spans="2:7" x14ac:dyDescent="0.2">
      <c r="B271" s="218"/>
      <c r="C271" s="279"/>
      <c r="D271" s="283" t="s">
        <v>70</v>
      </c>
      <c r="E271" s="280">
        <v>0.11240401584655001</v>
      </c>
      <c r="F271" s="281">
        <v>549</v>
      </c>
      <c r="G271" s="258">
        <v>1</v>
      </c>
    </row>
    <row r="272" spans="2:7" x14ac:dyDescent="0.2">
      <c r="B272" s="218"/>
      <c r="C272" s="279"/>
      <c r="D272" s="283" t="s">
        <v>184</v>
      </c>
      <c r="E272" s="280">
        <v>9.4646587967872606E-5</v>
      </c>
      <c r="F272" s="281">
        <v>0</v>
      </c>
      <c r="G272" s="258">
        <v>1</v>
      </c>
    </row>
    <row r="273" spans="2:7" x14ac:dyDescent="0.2">
      <c r="B273" s="218"/>
      <c r="C273" s="279"/>
      <c r="D273" s="283" t="s">
        <v>74</v>
      </c>
      <c r="E273" s="280">
        <v>9.4648450613021796E-5</v>
      </c>
      <c r="F273" s="281">
        <v>0</v>
      </c>
      <c r="G273" s="258">
        <v>1</v>
      </c>
    </row>
    <row r="274" spans="2:7" x14ac:dyDescent="0.2">
      <c r="B274" s="218"/>
      <c r="C274" s="279"/>
      <c r="D274" s="283" t="s">
        <v>75</v>
      </c>
      <c r="E274" s="280">
        <v>9.4269895926117793E-3</v>
      </c>
      <c r="F274" s="281">
        <v>56</v>
      </c>
      <c r="G274" s="258">
        <v>1</v>
      </c>
    </row>
    <row r="275" spans="2:7" x14ac:dyDescent="0.2">
      <c r="B275" s="218"/>
      <c r="C275" s="279"/>
      <c r="D275" s="283" t="s">
        <v>78</v>
      </c>
      <c r="E275" s="280">
        <v>9.4648450613021796E-5</v>
      </c>
      <c r="F275" s="281">
        <v>0</v>
      </c>
      <c r="G275" s="258">
        <v>1</v>
      </c>
    </row>
    <row r="276" spans="2:7" x14ac:dyDescent="0.2">
      <c r="B276" s="218"/>
      <c r="C276" s="279"/>
      <c r="D276" s="283" t="s">
        <v>189</v>
      </c>
      <c r="E276" s="280">
        <v>9.4638206064700999E-5</v>
      </c>
      <c r="F276" s="281">
        <v>0</v>
      </c>
      <c r="G276" s="258">
        <v>1</v>
      </c>
    </row>
    <row r="277" spans="2:7" x14ac:dyDescent="0.2">
      <c r="B277" s="218"/>
      <c r="C277" s="279"/>
      <c r="D277" s="283" t="s">
        <v>82</v>
      </c>
      <c r="E277" s="280">
        <v>5.9355795383453304E-4</v>
      </c>
      <c r="F277" s="281">
        <v>1</v>
      </c>
      <c r="G277" s="258">
        <v>1</v>
      </c>
    </row>
    <row r="278" spans="2:7" x14ac:dyDescent="0.2">
      <c r="B278" s="218"/>
      <c r="C278" s="279"/>
      <c r="D278" s="283" t="s">
        <v>190</v>
      </c>
      <c r="E278" s="280">
        <v>9.4645656645298004E-5</v>
      </c>
      <c r="F278" s="281">
        <v>0</v>
      </c>
      <c r="G278" s="258">
        <v>1</v>
      </c>
    </row>
    <row r="279" spans="2:7" x14ac:dyDescent="0.2">
      <c r="B279" s="218"/>
      <c r="C279" s="279"/>
      <c r="D279" s="283" t="s">
        <v>191</v>
      </c>
      <c r="E279" s="280">
        <v>1.28842890262603E-4</v>
      </c>
      <c r="F279" s="281">
        <v>0</v>
      </c>
      <c r="G279" s="258">
        <v>1</v>
      </c>
    </row>
    <row r="280" spans="2:7" x14ac:dyDescent="0.2">
      <c r="B280" s="218"/>
      <c r="C280" s="279"/>
      <c r="D280" s="283" t="s">
        <v>84</v>
      </c>
      <c r="E280" s="280">
        <v>9.4649381935596398E-5</v>
      </c>
      <c r="F280" s="281">
        <v>0</v>
      </c>
      <c r="G280" s="258">
        <v>1</v>
      </c>
    </row>
    <row r="281" spans="2:7" x14ac:dyDescent="0.2">
      <c r="B281" s="218"/>
      <c r="C281" s="279"/>
      <c r="D281" s="283" t="s">
        <v>85</v>
      </c>
      <c r="E281" s="280">
        <v>9.4639137387275601E-5</v>
      </c>
      <c r="F281" s="281">
        <v>0</v>
      </c>
      <c r="G281" s="258">
        <v>1</v>
      </c>
    </row>
    <row r="282" spans="2:7" x14ac:dyDescent="0.2">
      <c r="B282" s="218"/>
      <c r="C282" s="279"/>
      <c r="D282" s="283" t="s">
        <v>89</v>
      </c>
      <c r="E282" s="280">
        <v>9.4647519290447194E-5</v>
      </c>
      <c r="F282" s="281">
        <v>0</v>
      </c>
      <c r="G282" s="258">
        <v>1</v>
      </c>
    </row>
    <row r="283" spans="2:7" x14ac:dyDescent="0.2">
      <c r="B283" s="218"/>
      <c r="D283" s="259" t="s">
        <v>90</v>
      </c>
      <c r="E283" s="256">
        <v>9.4647519290447194E-5</v>
      </c>
      <c r="F283" s="257">
        <v>0</v>
      </c>
      <c r="G283" s="258">
        <v>1</v>
      </c>
    </row>
    <row r="284" spans="2:7" x14ac:dyDescent="0.2">
      <c r="B284" s="218"/>
      <c r="D284" s="259" t="s">
        <v>174</v>
      </c>
      <c r="E284" s="256">
        <v>9.4649381935596398E-5</v>
      </c>
      <c r="F284" s="257">
        <v>0</v>
      </c>
      <c r="G284" s="258">
        <v>1</v>
      </c>
    </row>
    <row r="285" spans="2:7" x14ac:dyDescent="0.2">
      <c r="B285" s="218"/>
      <c r="D285" s="259" t="s">
        <v>57</v>
      </c>
      <c r="E285" s="256">
        <v>1.8930155783891599E-4</v>
      </c>
      <c r="F285" s="257">
        <v>0</v>
      </c>
      <c r="G285" s="258">
        <v>2</v>
      </c>
    </row>
    <row r="286" spans="2:7" x14ac:dyDescent="0.2">
      <c r="B286" s="218"/>
      <c r="D286" s="259" t="s">
        <v>96</v>
      </c>
      <c r="E286" s="256">
        <v>370.418296856805</v>
      </c>
      <c r="F286" s="257">
        <v>130551</v>
      </c>
      <c r="G286" s="258">
        <v>1</v>
      </c>
    </row>
    <row r="287" spans="2:7" x14ac:dyDescent="0.2">
      <c r="B287" s="218"/>
      <c r="D287" s="259" t="s">
        <v>114</v>
      </c>
      <c r="E287" s="256">
        <v>9.4649381935596398E-5</v>
      </c>
      <c r="F287" s="257">
        <v>0</v>
      </c>
      <c r="G287" s="258">
        <v>1</v>
      </c>
    </row>
    <row r="288" spans="2:7" x14ac:dyDescent="0.2">
      <c r="B288" s="218"/>
      <c r="D288" s="259" t="s">
        <v>99</v>
      </c>
      <c r="E288" s="256">
        <v>9.4649381935596398E-5</v>
      </c>
      <c r="F288" s="257">
        <v>0</v>
      </c>
      <c r="G288" s="258">
        <v>1</v>
      </c>
    </row>
    <row r="289" spans="2:7" x14ac:dyDescent="0.2">
      <c r="B289" s="218"/>
      <c r="D289" s="259" t="s">
        <v>58</v>
      </c>
      <c r="E289" s="256">
        <v>1.8929969519376701E-4</v>
      </c>
      <c r="F289" s="257">
        <v>0</v>
      </c>
      <c r="G289" s="258">
        <v>2</v>
      </c>
    </row>
    <row r="290" spans="2:7" x14ac:dyDescent="0.2">
      <c r="B290" s="218"/>
      <c r="D290" s="259" t="s">
        <v>59</v>
      </c>
      <c r="E290" s="256">
        <v>181.19944832101373</v>
      </c>
      <c r="F290" s="257">
        <v>687990</v>
      </c>
      <c r="G290" s="258">
        <v>24</v>
      </c>
    </row>
    <row r="291" spans="2:7" x14ac:dyDescent="0.2">
      <c r="B291" s="218"/>
      <c r="D291" s="259" t="s">
        <v>102</v>
      </c>
      <c r="E291" s="256">
        <v>1.3060215860605199E-4</v>
      </c>
      <c r="F291" s="257">
        <v>0</v>
      </c>
      <c r="G291" s="258">
        <v>1</v>
      </c>
    </row>
    <row r="292" spans="2:7" ht="17" thickBot="1" x14ac:dyDescent="0.25">
      <c r="B292" s="218"/>
      <c r="D292" s="259" t="s">
        <v>103</v>
      </c>
      <c r="E292" s="256">
        <v>2.2523757070302901E-4</v>
      </c>
      <c r="F292" s="257">
        <v>0</v>
      </c>
      <c r="G292" s="258">
        <v>1</v>
      </c>
    </row>
    <row r="293" spans="2:7" ht="17" thickBot="1" x14ac:dyDescent="0.25">
      <c r="B293" s="218"/>
      <c r="C293" s="221" t="s">
        <v>49</v>
      </c>
      <c r="D293" s="232"/>
      <c r="E293" s="233">
        <v>25467.430001731951</v>
      </c>
      <c r="F293" s="234">
        <v>9297169</v>
      </c>
      <c r="G293" s="239">
        <v>71</v>
      </c>
    </row>
    <row r="294" spans="2:7" x14ac:dyDescent="0.2">
      <c r="B294" s="218"/>
      <c r="D294" s="238" t="s">
        <v>62</v>
      </c>
      <c r="E294" s="28">
        <v>10.99941905215382</v>
      </c>
      <c r="F294" s="4">
        <v>47943</v>
      </c>
      <c r="G294" s="224">
        <v>2</v>
      </c>
    </row>
    <row r="295" spans="2:7" x14ac:dyDescent="0.2">
      <c r="B295" s="218"/>
      <c r="D295" s="238" t="s">
        <v>63</v>
      </c>
      <c r="E295" s="28">
        <v>1.6749667935073313E-2</v>
      </c>
      <c r="F295" s="4">
        <v>73</v>
      </c>
      <c r="G295" s="224">
        <v>4</v>
      </c>
    </row>
    <row r="296" spans="2:7" x14ac:dyDescent="0.2">
      <c r="B296" s="218"/>
      <c r="D296" s="238" t="s">
        <v>64</v>
      </c>
      <c r="E296" s="28">
        <v>0.64486706349998701</v>
      </c>
      <c r="F296" s="4">
        <v>2530</v>
      </c>
      <c r="G296" s="224">
        <v>1</v>
      </c>
    </row>
    <row r="297" spans="2:7" x14ac:dyDescent="0.2">
      <c r="B297" s="218"/>
      <c r="D297" s="238" t="s">
        <v>67</v>
      </c>
      <c r="E297" s="28">
        <v>0.27879274263977999</v>
      </c>
      <c r="F297" s="4">
        <v>1320</v>
      </c>
      <c r="G297" s="224">
        <v>2</v>
      </c>
    </row>
    <row r="298" spans="2:7" x14ac:dyDescent="0.2">
      <c r="B298" s="218"/>
      <c r="D298" s="238" t="s">
        <v>68</v>
      </c>
      <c r="E298" s="28">
        <v>4.3365359306335287E-4</v>
      </c>
      <c r="F298" s="4">
        <v>4</v>
      </c>
      <c r="G298" s="224">
        <v>3</v>
      </c>
    </row>
    <row r="299" spans="2:7" x14ac:dyDescent="0.2">
      <c r="B299" s="218"/>
      <c r="D299" s="238" t="s">
        <v>70</v>
      </c>
      <c r="E299" s="28">
        <v>508.44676599465271</v>
      </c>
      <c r="F299" s="4">
        <v>162582</v>
      </c>
      <c r="G299" s="224">
        <v>3</v>
      </c>
    </row>
    <row r="300" spans="2:7" x14ac:dyDescent="0.2">
      <c r="B300" s="218"/>
      <c r="D300" s="238" t="s">
        <v>71</v>
      </c>
      <c r="E300" s="28">
        <v>1.5588477253913801E-5</v>
      </c>
      <c r="F300" s="4">
        <v>1</v>
      </c>
      <c r="G300" s="224">
        <v>1</v>
      </c>
    </row>
    <row r="301" spans="2:7" x14ac:dyDescent="0.2">
      <c r="B301" s="218"/>
      <c r="D301" s="238" t="s">
        <v>72</v>
      </c>
      <c r="E301" s="28">
        <v>3.70619818568229E-5</v>
      </c>
      <c r="F301" s="4">
        <v>1</v>
      </c>
      <c r="G301" s="224">
        <v>1</v>
      </c>
    </row>
    <row r="302" spans="2:7" x14ac:dyDescent="0.2">
      <c r="B302" s="218"/>
      <c r="D302" s="238" t="s">
        <v>75</v>
      </c>
      <c r="E302" s="28">
        <v>5.4443658329546403E-2</v>
      </c>
      <c r="F302" s="4">
        <v>55</v>
      </c>
      <c r="G302" s="224">
        <v>1</v>
      </c>
    </row>
    <row r="303" spans="2:7" x14ac:dyDescent="0.2">
      <c r="B303" s="218"/>
      <c r="D303" s="238" t="s">
        <v>76</v>
      </c>
      <c r="E303" s="28">
        <v>4.3123193085193599E-2</v>
      </c>
      <c r="F303" s="4">
        <v>196</v>
      </c>
      <c r="G303" s="224">
        <v>1</v>
      </c>
    </row>
    <row r="304" spans="2:7" x14ac:dyDescent="0.2">
      <c r="B304" s="218"/>
      <c r="D304" s="238" t="s">
        <v>77</v>
      </c>
      <c r="E304" s="28">
        <v>5.26243820786476E-5</v>
      </c>
      <c r="F304" s="4">
        <v>2</v>
      </c>
      <c r="G304" s="224">
        <v>1</v>
      </c>
    </row>
    <row r="305" spans="2:7" x14ac:dyDescent="0.2">
      <c r="B305" s="218"/>
      <c r="D305" s="238" t="s">
        <v>188</v>
      </c>
      <c r="E305" s="28">
        <v>9.7258016467094404E-6</v>
      </c>
      <c r="F305" s="4">
        <v>1</v>
      </c>
      <c r="G305" s="224">
        <v>1</v>
      </c>
    </row>
    <row r="306" spans="2:7" x14ac:dyDescent="0.2">
      <c r="B306" s="218"/>
      <c r="D306" s="238" t="s">
        <v>79</v>
      </c>
      <c r="E306" s="28">
        <v>1.10445544123649E-5</v>
      </c>
      <c r="F306" s="4">
        <v>1</v>
      </c>
      <c r="G306" s="224">
        <v>1</v>
      </c>
    </row>
    <row r="307" spans="2:7" x14ac:dyDescent="0.2">
      <c r="B307" s="218"/>
      <c r="D307" s="238" t="s">
        <v>189</v>
      </c>
      <c r="E307" s="28">
        <v>1.1587319895625099E-3</v>
      </c>
      <c r="F307" s="4">
        <v>2</v>
      </c>
      <c r="G307" s="224">
        <v>1</v>
      </c>
    </row>
    <row r="308" spans="2:7" x14ac:dyDescent="0.2">
      <c r="B308" s="218"/>
      <c r="D308" s="238" t="s">
        <v>81</v>
      </c>
      <c r="E308" s="28">
        <v>1.57602131366729E-4</v>
      </c>
      <c r="F308" s="4">
        <v>0</v>
      </c>
      <c r="G308" s="224">
        <v>1</v>
      </c>
    </row>
    <row r="309" spans="2:7" x14ac:dyDescent="0.2">
      <c r="B309" s="218"/>
      <c r="D309" s="238" t="s">
        <v>82</v>
      </c>
      <c r="E309" s="28">
        <v>6.1700358055531902E-2</v>
      </c>
      <c r="F309" s="4">
        <v>14</v>
      </c>
      <c r="G309" s="224">
        <v>2</v>
      </c>
    </row>
    <row r="310" spans="2:7" x14ac:dyDescent="0.2">
      <c r="B310" s="218"/>
      <c r="D310" s="238" t="s">
        <v>190</v>
      </c>
      <c r="E310" s="28">
        <v>6.3904374837875301E-4</v>
      </c>
      <c r="F310" s="4">
        <v>2</v>
      </c>
      <c r="G310" s="224">
        <v>1</v>
      </c>
    </row>
    <row r="311" spans="2:7" x14ac:dyDescent="0.2">
      <c r="B311" s="218"/>
      <c r="D311" s="238" t="s">
        <v>55</v>
      </c>
      <c r="E311" s="28">
        <v>4.4573098421096802E-6</v>
      </c>
      <c r="F311" s="4">
        <v>1</v>
      </c>
      <c r="G311" s="224">
        <v>1</v>
      </c>
    </row>
    <row r="312" spans="2:7" x14ac:dyDescent="0.2">
      <c r="B312" s="218"/>
      <c r="D312" s="238" t="s">
        <v>171</v>
      </c>
      <c r="E312" s="28">
        <v>60.644283249974201</v>
      </c>
      <c r="F312" s="4">
        <v>145375</v>
      </c>
      <c r="G312" s="224">
        <v>1</v>
      </c>
    </row>
    <row r="313" spans="2:7" x14ac:dyDescent="0.2">
      <c r="B313" s="218"/>
      <c r="D313" s="238" t="s">
        <v>88</v>
      </c>
      <c r="E313" s="28">
        <v>3.5979167558252798E-2</v>
      </c>
      <c r="F313" s="4">
        <v>10</v>
      </c>
      <c r="G313" s="224">
        <v>1</v>
      </c>
    </row>
    <row r="314" spans="2:7" x14ac:dyDescent="0.2">
      <c r="B314" s="218"/>
      <c r="D314" s="238" t="s">
        <v>57</v>
      </c>
      <c r="E314" s="28">
        <v>1.76233239471912E-4</v>
      </c>
      <c r="F314" s="4">
        <v>0</v>
      </c>
      <c r="G314" s="224">
        <v>1</v>
      </c>
    </row>
    <row r="315" spans="2:7" x14ac:dyDescent="0.2">
      <c r="B315" s="218"/>
      <c r="D315" s="238" t="s">
        <v>97</v>
      </c>
      <c r="E315" s="28">
        <v>3.0798510350286898</v>
      </c>
      <c r="F315" s="4">
        <v>780</v>
      </c>
      <c r="G315" s="224">
        <v>1</v>
      </c>
    </row>
    <row r="316" spans="2:7" x14ac:dyDescent="0.2">
      <c r="B316" s="218"/>
      <c r="D316" s="238" t="s">
        <v>58</v>
      </c>
      <c r="E316" s="28">
        <v>6.1518310569226714E-2</v>
      </c>
      <c r="F316" s="4">
        <v>38</v>
      </c>
      <c r="G316" s="224">
        <v>2</v>
      </c>
    </row>
    <row r="317" spans="2:7" x14ac:dyDescent="0.2">
      <c r="B317" s="218"/>
      <c r="D317" s="238" t="s">
        <v>59</v>
      </c>
      <c r="E317" s="28">
        <v>24883.059675496992</v>
      </c>
      <c r="F317" s="4">
        <v>8936238</v>
      </c>
      <c r="G317" s="224">
        <v>36</v>
      </c>
    </row>
    <row r="318" spans="2:7" ht="17" thickBot="1" x14ac:dyDescent="0.25">
      <c r="B318" s="218"/>
      <c r="D318" s="238" t="s">
        <v>103</v>
      </c>
      <c r="E318" s="28">
        <v>1.3697426766157099E-4</v>
      </c>
      <c r="F318" s="4">
        <v>0</v>
      </c>
      <c r="G318" s="224">
        <v>1</v>
      </c>
    </row>
    <row r="319" spans="2:7" ht="17" thickBot="1" x14ac:dyDescent="0.25">
      <c r="B319" s="218"/>
      <c r="C319" s="221" t="s">
        <v>127</v>
      </c>
      <c r="D319" s="232"/>
      <c r="E319" s="233">
        <v>3574.6835590293608</v>
      </c>
      <c r="F319" s="234">
        <v>7537499</v>
      </c>
      <c r="G319" s="239">
        <v>77</v>
      </c>
    </row>
    <row r="320" spans="2:7" x14ac:dyDescent="0.2">
      <c r="B320" s="218"/>
      <c r="D320" s="238" t="s">
        <v>62</v>
      </c>
      <c r="E320" s="28">
        <v>55.112391375005203</v>
      </c>
      <c r="F320" s="4">
        <v>306085</v>
      </c>
      <c r="G320" s="224">
        <v>1</v>
      </c>
    </row>
    <row r="321" spans="2:7" x14ac:dyDescent="0.2">
      <c r="B321" s="218"/>
      <c r="D321" s="238" t="s">
        <v>63</v>
      </c>
      <c r="E321" s="28">
        <v>0.5174672165885561</v>
      </c>
      <c r="F321" s="4">
        <v>4343</v>
      </c>
      <c r="G321" s="224">
        <v>4</v>
      </c>
    </row>
    <row r="322" spans="2:7" x14ac:dyDescent="0.2">
      <c r="B322" s="218"/>
      <c r="D322" s="238" t="s">
        <v>64</v>
      </c>
      <c r="E322" s="28">
        <v>0.77070493437349785</v>
      </c>
      <c r="F322" s="4">
        <v>3781</v>
      </c>
      <c r="G322" s="224">
        <v>2</v>
      </c>
    </row>
    <row r="323" spans="2:7" x14ac:dyDescent="0.2">
      <c r="B323" s="218"/>
      <c r="D323" s="238" t="s">
        <v>180</v>
      </c>
      <c r="E323" s="28">
        <v>1.2013129889965E-5</v>
      </c>
      <c r="F323" s="4">
        <v>1</v>
      </c>
      <c r="G323" s="224">
        <v>1</v>
      </c>
    </row>
    <row r="324" spans="2:7" x14ac:dyDescent="0.2">
      <c r="B324" s="218"/>
      <c r="D324" s="238" t="s">
        <v>67</v>
      </c>
      <c r="E324" s="28">
        <v>1.31083000451326E-3</v>
      </c>
      <c r="F324" s="4">
        <v>0</v>
      </c>
      <c r="G324" s="224">
        <v>1</v>
      </c>
    </row>
    <row r="325" spans="2:7" x14ac:dyDescent="0.2">
      <c r="B325" s="218"/>
      <c r="D325" s="238" t="s">
        <v>68</v>
      </c>
      <c r="E325" s="28">
        <v>1.02441757917404E-4</v>
      </c>
      <c r="F325" s="4">
        <v>1</v>
      </c>
      <c r="G325" s="224">
        <v>1</v>
      </c>
    </row>
    <row r="326" spans="2:7" x14ac:dyDescent="0.2">
      <c r="B326" s="218"/>
      <c r="D326" s="238" t="s">
        <v>70</v>
      </c>
      <c r="E326" s="28">
        <v>1.533569343388073</v>
      </c>
      <c r="F326" s="4">
        <v>931</v>
      </c>
      <c r="G326" s="224">
        <v>3</v>
      </c>
    </row>
    <row r="327" spans="2:7" x14ac:dyDescent="0.2">
      <c r="B327" s="218"/>
      <c r="D327" s="238" t="s">
        <v>71</v>
      </c>
      <c r="E327" s="28">
        <v>1.3808770105242717E-2</v>
      </c>
      <c r="F327" s="4">
        <v>9</v>
      </c>
      <c r="G327" s="224">
        <v>2</v>
      </c>
    </row>
    <row r="328" spans="2:7" x14ac:dyDescent="0.2">
      <c r="B328" s="218"/>
      <c r="D328" s="238" t="s">
        <v>159</v>
      </c>
      <c r="E328" s="28">
        <v>3.0584238469600601E-2</v>
      </c>
      <c r="F328" s="4">
        <v>32</v>
      </c>
      <c r="G328" s="224">
        <v>1</v>
      </c>
    </row>
    <row r="329" spans="2:7" x14ac:dyDescent="0.2">
      <c r="B329" s="218"/>
      <c r="D329" s="238" t="s">
        <v>75</v>
      </c>
      <c r="E329" s="28">
        <v>106.79653934203012</v>
      </c>
      <c r="F329" s="4">
        <v>506853</v>
      </c>
      <c r="G329" s="224">
        <v>4</v>
      </c>
    </row>
    <row r="330" spans="2:7" x14ac:dyDescent="0.2">
      <c r="B330" s="218"/>
      <c r="D330" s="238" t="s">
        <v>76</v>
      </c>
      <c r="E330" s="28">
        <v>2.1151420660316889E-2</v>
      </c>
      <c r="F330" s="4">
        <v>66</v>
      </c>
      <c r="G330" s="224">
        <v>4</v>
      </c>
    </row>
    <row r="331" spans="2:7" x14ac:dyDescent="0.2">
      <c r="B331" s="218"/>
      <c r="D331" s="238" t="s">
        <v>78</v>
      </c>
      <c r="E331" s="28">
        <v>3.8494355976581499E-5</v>
      </c>
      <c r="F331" s="4">
        <v>2</v>
      </c>
      <c r="G331" s="224">
        <v>2</v>
      </c>
    </row>
    <row r="332" spans="2:7" x14ac:dyDescent="0.2">
      <c r="B332" s="218"/>
      <c r="D332" s="238" t="s">
        <v>79</v>
      </c>
      <c r="E332" s="28">
        <v>3.2332818955183002E-4</v>
      </c>
      <c r="F332" s="4">
        <v>0</v>
      </c>
      <c r="G332" s="224">
        <v>1</v>
      </c>
    </row>
    <row r="333" spans="2:7" x14ac:dyDescent="0.2">
      <c r="B333" s="218"/>
      <c r="D333" s="238" t="s">
        <v>81</v>
      </c>
      <c r="E333" s="28">
        <v>1.5093460679054249E-3</v>
      </c>
      <c r="F333" s="4">
        <v>3</v>
      </c>
      <c r="G333" s="224">
        <v>2</v>
      </c>
    </row>
    <row r="334" spans="2:7" x14ac:dyDescent="0.2">
      <c r="B334" s="218"/>
      <c r="D334" s="238" t="s">
        <v>55</v>
      </c>
      <c r="E334" s="28">
        <v>3.1710602343082401E-5</v>
      </c>
      <c r="F334" s="4">
        <v>1</v>
      </c>
      <c r="G334" s="224">
        <v>1</v>
      </c>
    </row>
    <row r="335" spans="2:7" x14ac:dyDescent="0.2">
      <c r="B335" s="218"/>
      <c r="D335" s="238" t="s">
        <v>195</v>
      </c>
      <c r="E335" s="28">
        <v>9.1101974248886108E-6</v>
      </c>
      <c r="F335" s="4">
        <v>2</v>
      </c>
      <c r="G335" s="224">
        <v>1</v>
      </c>
    </row>
    <row r="336" spans="2:7" x14ac:dyDescent="0.2">
      <c r="B336" s="218"/>
      <c r="D336" s="238" t="s">
        <v>84</v>
      </c>
      <c r="E336" s="28">
        <v>2.03744424507021E-2</v>
      </c>
      <c r="F336" s="4">
        <v>20</v>
      </c>
      <c r="G336" s="224">
        <v>1</v>
      </c>
    </row>
    <row r="337" spans="2:7" x14ac:dyDescent="0.2">
      <c r="B337" s="218"/>
      <c r="D337" s="238" t="s">
        <v>85</v>
      </c>
      <c r="E337" s="28">
        <v>8.1164166331291095E-3</v>
      </c>
      <c r="F337" s="4">
        <v>5</v>
      </c>
      <c r="G337" s="224">
        <v>1</v>
      </c>
    </row>
    <row r="338" spans="2:7" x14ac:dyDescent="0.2">
      <c r="B338" s="218"/>
      <c r="D338" s="238" t="s">
        <v>198</v>
      </c>
      <c r="E338" s="28">
        <v>6.9755129516124698E-5</v>
      </c>
      <c r="F338" s="4">
        <v>1</v>
      </c>
      <c r="G338" s="224">
        <v>1</v>
      </c>
    </row>
    <row r="339" spans="2:7" x14ac:dyDescent="0.2">
      <c r="B339" s="218"/>
      <c r="D339" s="238" t="s">
        <v>173</v>
      </c>
      <c r="E339" s="28">
        <v>6.8306922912597602E-5</v>
      </c>
      <c r="F339" s="4">
        <v>1</v>
      </c>
      <c r="G339" s="224">
        <v>1</v>
      </c>
    </row>
    <row r="340" spans="2:7" x14ac:dyDescent="0.2">
      <c r="B340" s="218"/>
      <c r="D340" s="238" t="s">
        <v>160</v>
      </c>
      <c r="E340" s="28">
        <v>4.6778097748756398E-4</v>
      </c>
      <c r="F340" s="4">
        <v>1</v>
      </c>
      <c r="G340" s="224">
        <v>1</v>
      </c>
    </row>
    <row r="341" spans="2:7" x14ac:dyDescent="0.2">
      <c r="B341" s="218"/>
      <c r="D341" s="238" t="s">
        <v>90</v>
      </c>
      <c r="E341" s="28">
        <v>24.051477272994763</v>
      </c>
      <c r="F341" s="4">
        <v>19245</v>
      </c>
      <c r="G341" s="224">
        <v>2</v>
      </c>
    </row>
    <row r="342" spans="2:7" x14ac:dyDescent="0.2">
      <c r="B342" s="218"/>
      <c r="D342" s="238" t="s">
        <v>92</v>
      </c>
      <c r="E342" s="28">
        <v>4.7407243400812097E-3</v>
      </c>
      <c r="F342" s="4">
        <v>4</v>
      </c>
      <c r="G342" s="224">
        <v>1</v>
      </c>
    </row>
    <row r="343" spans="2:7" x14ac:dyDescent="0.2">
      <c r="B343" s="218"/>
      <c r="D343" s="238" t="s">
        <v>96</v>
      </c>
      <c r="E343" s="28">
        <v>72.027332730591198</v>
      </c>
      <c r="F343" s="4">
        <v>74426</v>
      </c>
      <c r="G343" s="224">
        <v>1</v>
      </c>
    </row>
    <row r="344" spans="2:7" x14ac:dyDescent="0.2">
      <c r="B344" s="218"/>
      <c r="D344" s="238" t="s">
        <v>175</v>
      </c>
      <c r="E344" s="28">
        <v>1.5174876898527099E-4</v>
      </c>
      <c r="F344" s="4">
        <v>2</v>
      </c>
      <c r="G344" s="224">
        <v>2</v>
      </c>
    </row>
    <row r="345" spans="2:7" x14ac:dyDescent="0.2">
      <c r="B345" s="218"/>
      <c r="D345" s="238" t="s">
        <v>58</v>
      </c>
      <c r="E345" s="28">
        <v>0.94793272949755103</v>
      </c>
      <c r="F345" s="4">
        <v>6613</v>
      </c>
      <c r="G345" s="224">
        <v>2</v>
      </c>
    </row>
    <row r="346" spans="2:7" x14ac:dyDescent="0.2">
      <c r="B346" s="218"/>
      <c r="D346" s="238" t="s">
        <v>59</v>
      </c>
      <c r="E346" s="28">
        <v>3312.8232258064659</v>
      </c>
      <c r="F346" s="4">
        <v>6615069</v>
      </c>
      <c r="G346" s="224">
        <v>31</v>
      </c>
    </row>
    <row r="347" spans="2:7" x14ac:dyDescent="0.2">
      <c r="B347" s="218"/>
      <c r="D347" s="238" t="s">
        <v>103</v>
      </c>
      <c r="E347" s="28">
        <v>1.04466453194618E-5</v>
      </c>
      <c r="F347" s="4">
        <v>1</v>
      </c>
      <c r="G347" s="224">
        <v>1</v>
      </c>
    </row>
    <row r="348" spans="2:7" ht="17" thickBot="1" x14ac:dyDescent="0.25">
      <c r="B348" s="218"/>
      <c r="D348" s="238" t="s">
        <v>104</v>
      </c>
      <c r="E348" s="28">
        <v>3.6953017115592902E-5</v>
      </c>
      <c r="F348" s="4">
        <v>1</v>
      </c>
      <c r="G348" s="224">
        <v>1</v>
      </c>
    </row>
    <row r="349" spans="2:7" ht="17" thickBot="1" x14ac:dyDescent="0.25">
      <c r="B349" s="219"/>
      <c r="C349" s="228" t="s">
        <v>4</v>
      </c>
      <c r="D349" s="68"/>
      <c r="E349" s="229">
        <v>3602126.4780226187</v>
      </c>
      <c r="F349" s="230">
        <v>107400939</v>
      </c>
      <c r="G349" s="231">
        <v>1420</v>
      </c>
    </row>
  </sheetData>
  <mergeCells count="2">
    <mergeCell ref="B3:G3"/>
    <mergeCell ref="B4: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15"/>
  <sheetViews>
    <sheetView workbookViewId="0"/>
  </sheetViews>
  <sheetFormatPr baseColWidth="10" defaultRowHeight="16" x14ac:dyDescent="0.2"/>
  <cols>
    <col min="4" max="4" width="38.5703125" bestFit="1" customWidth="1"/>
    <col min="5" max="5" width="28.7109375" bestFit="1" customWidth="1"/>
    <col min="6" max="6" width="15.140625" bestFit="1" customWidth="1"/>
    <col min="7" max="7" width="12.28515625" bestFit="1" customWidth="1"/>
  </cols>
  <sheetData>
    <row r="2" spans="2:15" ht="23" x14ac:dyDescent="0.2">
      <c r="C2" s="273" t="s">
        <v>146</v>
      </c>
      <c r="D2" s="273"/>
      <c r="E2" s="273"/>
      <c r="F2" s="273"/>
      <c r="G2" s="273"/>
      <c r="H2" s="273"/>
      <c r="I2" s="90"/>
      <c r="J2" s="90"/>
      <c r="K2" s="90"/>
      <c r="L2" s="90"/>
      <c r="M2" s="90"/>
      <c r="N2" s="90"/>
      <c r="O2" s="90"/>
    </row>
    <row r="3" spans="2:15" ht="18" x14ac:dyDescent="0.2">
      <c r="C3" s="264" t="s">
        <v>178</v>
      </c>
      <c r="D3" s="264"/>
      <c r="E3" s="264"/>
      <c r="F3" s="264"/>
      <c r="G3" s="264"/>
      <c r="H3" s="264"/>
    </row>
    <row r="4" spans="2:15" ht="17" thickBot="1" x14ac:dyDescent="0.25">
      <c r="B4" s="12"/>
      <c r="C4" s="12"/>
      <c r="D4" s="12"/>
      <c r="E4" s="12"/>
      <c r="F4" s="12"/>
      <c r="G4" s="12"/>
      <c r="H4" s="12"/>
      <c r="I4" s="12"/>
    </row>
    <row r="5" spans="2:15" ht="17" thickBot="1" x14ac:dyDescent="0.25">
      <c r="B5" s="6"/>
      <c r="C5" s="5" t="s">
        <v>28</v>
      </c>
      <c r="D5" s="182" t="s">
        <v>52</v>
      </c>
      <c r="E5" s="86" t="s">
        <v>116</v>
      </c>
      <c r="F5" s="16" t="s">
        <v>179</v>
      </c>
      <c r="G5" s="176" t="s">
        <v>141</v>
      </c>
      <c r="H5" s="176" t="s">
        <v>142</v>
      </c>
      <c r="I5" s="6"/>
    </row>
    <row r="6" spans="2:15" ht="17" thickBot="1" x14ac:dyDescent="0.25">
      <c r="B6" s="9"/>
      <c r="C6" s="184" t="s">
        <v>1</v>
      </c>
      <c r="D6" s="185"/>
      <c r="E6" s="185"/>
      <c r="F6" s="240">
        <v>3569810.9833484688</v>
      </c>
      <c r="G6" s="241">
        <v>86986420</v>
      </c>
      <c r="H6" s="242">
        <v>1186</v>
      </c>
      <c r="I6" s="9"/>
    </row>
    <row r="7" spans="2:15" ht="18" thickTop="1" thickBot="1" x14ac:dyDescent="0.25">
      <c r="B7" s="9"/>
      <c r="C7" s="183"/>
      <c r="D7" s="197" t="s">
        <v>31</v>
      </c>
      <c r="E7" s="9"/>
      <c r="F7" s="193">
        <v>8.2467589527368502E-4</v>
      </c>
      <c r="G7" s="194">
        <v>3</v>
      </c>
      <c r="H7" s="195">
        <v>2</v>
      </c>
      <c r="I7" s="9"/>
    </row>
    <row r="8" spans="2:15" ht="17" thickBot="1" x14ac:dyDescent="0.25">
      <c r="B8" s="9"/>
      <c r="C8" s="183"/>
      <c r="D8" s="9"/>
      <c r="E8" s="245" t="s">
        <v>18</v>
      </c>
      <c r="F8" s="246">
        <v>8.2467589527368502E-4</v>
      </c>
      <c r="G8" s="200">
        <v>3</v>
      </c>
      <c r="H8" s="201">
        <v>2</v>
      </c>
      <c r="I8" s="9"/>
    </row>
    <row r="9" spans="2:15" ht="17" thickBot="1" x14ac:dyDescent="0.25">
      <c r="B9" s="9"/>
      <c r="C9" s="183"/>
      <c r="D9" s="142" t="s">
        <v>33</v>
      </c>
      <c r="E9" s="204"/>
      <c r="F9" s="247">
        <v>3295208.3985782354</v>
      </c>
      <c r="G9" s="248">
        <v>14667527</v>
      </c>
      <c r="H9" s="249">
        <v>146</v>
      </c>
      <c r="I9" s="9"/>
    </row>
    <row r="10" spans="2:15" x14ac:dyDescent="0.2">
      <c r="B10" s="9"/>
      <c r="C10" s="183"/>
      <c r="D10" s="9"/>
      <c r="E10" s="198" t="s">
        <v>7</v>
      </c>
      <c r="F10" s="139">
        <v>5.8538373559713299E-4</v>
      </c>
      <c r="G10" s="101">
        <v>20</v>
      </c>
      <c r="H10" s="104">
        <v>1</v>
      </c>
      <c r="I10" s="9"/>
    </row>
    <row r="11" spans="2:15" x14ac:dyDescent="0.2">
      <c r="B11" s="9"/>
      <c r="C11" s="183"/>
      <c r="D11" s="9"/>
      <c r="E11" s="198" t="s">
        <v>8</v>
      </c>
      <c r="F11" s="139">
        <v>180.839675896801</v>
      </c>
      <c r="G11" s="101">
        <v>765</v>
      </c>
      <c r="H11" s="104">
        <v>1</v>
      </c>
      <c r="I11" s="9"/>
    </row>
    <row r="12" spans="2:15" x14ac:dyDescent="0.2">
      <c r="B12" s="9"/>
      <c r="C12" s="183"/>
      <c r="D12" s="9"/>
      <c r="E12" s="198" t="s">
        <v>9</v>
      </c>
      <c r="F12" s="139">
        <v>9.5969904214143699E-4</v>
      </c>
      <c r="G12" s="101">
        <v>29</v>
      </c>
      <c r="H12" s="104">
        <v>1</v>
      </c>
      <c r="I12" s="9"/>
    </row>
    <row r="13" spans="2:15" x14ac:dyDescent="0.2">
      <c r="B13" s="9"/>
      <c r="C13" s="183"/>
      <c r="D13" s="9"/>
      <c r="E13" s="198" t="s">
        <v>12</v>
      </c>
      <c r="F13" s="139">
        <v>1.6595125198364199E-3</v>
      </c>
      <c r="G13" s="101">
        <v>63</v>
      </c>
      <c r="H13" s="104">
        <v>1</v>
      </c>
      <c r="I13" s="9"/>
    </row>
    <row r="14" spans="2:15" x14ac:dyDescent="0.2">
      <c r="B14" s="9"/>
      <c r="C14" s="183"/>
      <c r="D14" s="9"/>
      <c r="E14" s="198" t="s">
        <v>13</v>
      </c>
      <c r="F14" s="139">
        <v>696.48551275022237</v>
      </c>
      <c r="G14" s="101">
        <v>3172</v>
      </c>
      <c r="H14" s="104">
        <v>13</v>
      </c>
      <c r="I14" s="9"/>
    </row>
    <row r="15" spans="2:15" x14ac:dyDescent="0.2">
      <c r="B15" s="9"/>
      <c r="C15" s="183"/>
      <c r="D15" s="9"/>
      <c r="E15" s="198" t="s">
        <v>16</v>
      </c>
      <c r="F15" s="139">
        <v>1.48244643304497</v>
      </c>
      <c r="G15" s="101">
        <v>6</v>
      </c>
      <c r="H15" s="104">
        <v>1</v>
      </c>
      <c r="I15" s="9"/>
    </row>
    <row r="16" spans="2:15" x14ac:dyDescent="0.2">
      <c r="B16" s="9"/>
      <c r="C16" s="183"/>
      <c r="D16" s="9"/>
      <c r="E16" s="198" t="s">
        <v>17</v>
      </c>
      <c r="F16" s="139">
        <v>450.88802053406818</v>
      </c>
      <c r="G16" s="101">
        <v>298401</v>
      </c>
      <c r="H16" s="104">
        <v>12</v>
      </c>
      <c r="I16" s="9"/>
    </row>
    <row r="17" spans="2:9" x14ac:dyDescent="0.2">
      <c r="B17" s="9"/>
      <c r="C17" s="183"/>
      <c r="D17" s="9"/>
      <c r="E17" s="198" t="s">
        <v>18</v>
      </c>
      <c r="F17" s="139">
        <v>0.35022974293678955</v>
      </c>
      <c r="G17" s="101">
        <v>5740</v>
      </c>
      <c r="H17" s="104">
        <v>103</v>
      </c>
      <c r="I17" s="9"/>
    </row>
    <row r="18" spans="2:9" x14ac:dyDescent="0.2">
      <c r="B18" s="9"/>
      <c r="C18" s="183"/>
      <c r="D18" s="9"/>
      <c r="E18" s="198" t="s">
        <v>117</v>
      </c>
      <c r="F18" s="139">
        <v>3293870.6285458193</v>
      </c>
      <c r="G18" s="101">
        <v>14359276</v>
      </c>
      <c r="H18" s="104">
        <v>10</v>
      </c>
      <c r="I18" s="9"/>
    </row>
    <row r="19" spans="2:9" x14ac:dyDescent="0.2">
      <c r="B19" s="9"/>
      <c r="C19" s="183"/>
      <c r="D19" s="9"/>
      <c r="E19" s="198" t="s">
        <v>19</v>
      </c>
      <c r="F19" s="139">
        <v>1.1834616875275961</v>
      </c>
      <c r="G19" s="101">
        <v>12</v>
      </c>
      <c r="H19" s="104">
        <v>2</v>
      </c>
      <c r="I19" s="9"/>
    </row>
    <row r="20" spans="2:9" ht="17" thickBot="1" x14ac:dyDescent="0.25">
      <c r="B20" s="9"/>
      <c r="C20" s="183"/>
      <c r="D20" s="9"/>
      <c r="E20" s="198" t="s">
        <v>20</v>
      </c>
      <c r="F20" s="139">
        <v>6.5374807761982003</v>
      </c>
      <c r="G20" s="101">
        <v>43</v>
      </c>
      <c r="H20" s="104">
        <v>1</v>
      </c>
      <c r="I20" s="9"/>
    </row>
    <row r="21" spans="2:9" ht="17" thickBot="1" x14ac:dyDescent="0.25">
      <c r="B21" s="9"/>
      <c r="C21" s="183"/>
      <c r="D21" s="142" t="s">
        <v>35</v>
      </c>
      <c r="E21" s="188"/>
      <c r="F21" s="189">
        <v>4990.2447753502038</v>
      </c>
      <c r="G21" s="190">
        <v>33193</v>
      </c>
      <c r="H21" s="191">
        <v>9</v>
      </c>
      <c r="I21" s="9"/>
    </row>
    <row r="22" spans="2:9" x14ac:dyDescent="0.2">
      <c r="B22" s="9"/>
      <c r="C22" s="183"/>
      <c r="D22" s="9"/>
      <c r="E22" s="198" t="s">
        <v>8</v>
      </c>
      <c r="F22" s="139">
        <v>93.3868766287341</v>
      </c>
      <c r="G22" s="101">
        <v>730</v>
      </c>
      <c r="H22" s="104">
        <v>1</v>
      </c>
      <c r="I22" s="9"/>
    </row>
    <row r="23" spans="2:9" x14ac:dyDescent="0.2">
      <c r="B23" s="9"/>
      <c r="C23" s="183"/>
      <c r="D23" s="9"/>
      <c r="E23" s="198" t="s">
        <v>13</v>
      </c>
      <c r="F23" s="139">
        <v>33.640194582752819</v>
      </c>
      <c r="G23" s="101">
        <v>222</v>
      </c>
      <c r="H23" s="104">
        <v>4</v>
      </c>
      <c r="I23" s="9"/>
    </row>
    <row r="24" spans="2:9" x14ac:dyDescent="0.2">
      <c r="B24" s="9"/>
      <c r="C24" s="183"/>
      <c r="D24" s="9"/>
      <c r="E24" s="198" t="s">
        <v>17</v>
      </c>
      <c r="F24" s="139">
        <v>57.825375962071007</v>
      </c>
      <c r="G24" s="101">
        <v>405</v>
      </c>
      <c r="H24" s="104">
        <v>2</v>
      </c>
      <c r="I24" s="9"/>
    </row>
    <row r="25" spans="2:9" ht="17" thickBot="1" x14ac:dyDescent="0.25">
      <c r="B25" s="9"/>
      <c r="C25" s="183"/>
      <c r="D25" s="9"/>
      <c r="E25" s="199" t="s">
        <v>117</v>
      </c>
      <c r="F25" s="141">
        <v>4805.3923281766456</v>
      </c>
      <c r="G25" s="103">
        <v>31836</v>
      </c>
      <c r="H25" s="105">
        <v>2</v>
      </c>
      <c r="I25" s="9"/>
    </row>
    <row r="26" spans="2:9" ht="17" thickBot="1" x14ac:dyDescent="0.25">
      <c r="B26" s="9"/>
      <c r="C26" s="183"/>
      <c r="D26" s="142" t="s">
        <v>37</v>
      </c>
      <c r="E26" s="188"/>
      <c r="F26" s="189">
        <v>2.7834953740239123E-2</v>
      </c>
      <c r="G26" s="190">
        <v>3</v>
      </c>
      <c r="H26" s="191">
        <v>3</v>
      </c>
      <c r="I26" s="9"/>
    </row>
    <row r="27" spans="2:9" ht="17" thickBot="1" x14ac:dyDescent="0.25">
      <c r="B27" s="9"/>
      <c r="C27" s="183"/>
      <c r="D27" s="9"/>
      <c r="E27" s="198" t="s">
        <v>18</v>
      </c>
      <c r="F27" s="139">
        <v>2.7834953740239123E-2</v>
      </c>
      <c r="G27" s="101">
        <v>3</v>
      </c>
      <c r="H27" s="104">
        <v>3</v>
      </c>
      <c r="I27" s="9"/>
    </row>
    <row r="28" spans="2:9" ht="17" thickBot="1" x14ac:dyDescent="0.25">
      <c r="B28" s="9"/>
      <c r="C28" s="183"/>
      <c r="D28" s="142" t="s">
        <v>39</v>
      </c>
      <c r="E28" s="188"/>
      <c r="F28" s="189">
        <v>228006.54118863298</v>
      </c>
      <c r="G28" s="190">
        <v>71892860</v>
      </c>
      <c r="H28" s="191">
        <v>522</v>
      </c>
      <c r="I28" s="9"/>
    </row>
    <row r="29" spans="2:9" x14ac:dyDescent="0.2">
      <c r="B29" s="9"/>
      <c r="C29" s="183"/>
      <c r="D29" s="9"/>
      <c r="E29" s="198" t="s">
        <v>6</v>
      </c>
      <c r="F29" s="139">
        <v>8.5417331513017398</v>
      </c>
      <c r="G29" s="101">
        <v>1337</v>
      </c>
      <c r="H29" s="104">
        <v>1</v>
      </c>
      <c r="I29" s="9"/>
    </row>
    <row r="30" spans="2:9" x14ac:dyDescent="0.2">
      <c r="B30" s="9"/>
      <c r="C30" s="183"/>
      <c r="D30" s="9"/>
      <c r="E30" s="198" t="s">
        <v>7</v>
      </c>
      <c r="F30" s="139">
        <v>86.295451933517953</v>
      </c>
      <c r="G30" s="101">
        <v>20175</v>
      </c>
      <c r="H30" s="104">
        <v>5</v>
      </c>
      <c r="I30" s="9"/>
    </row>
    <row r="31" spans="2:9" x14ac:dyDescent="0.2">
      <c r="B31" s="9"/>
      <c r="C31" s="183"/>
      <c r="D31" s="9"/>
      <c r="E31" s="198" t="s">
        <v>8</v>
      </c>
      <c r="F31" s="139">
        <v>382.96719940565481</v>
      </c>
      <c r="G31" s="101">
        <v>99519</v>
      </c>
      <c r="H31" s="104">
        <v>4</v>
      </c>
      <c r="I31" s="9"/>
    </row>
    <row r="32" spans="2:9" x14ac:dyDescent="0.2">
      <c r="B32" s="9"/>
      <c r="C32" s="183"/>
      <c r="D32" s="9"/>
      <c r="E32" s="198" t="s">
        <v>9</v>
      </c>
      <c r="F32" s="139">
        <v>0.40315651241689837</v>
      </c>
      <c r="G32" s="101">
        <v>151</v>
      </c>
      <c r="H32" s="104">
        <v>3</v>
      </c>
      <c r="I32" s="9"/>
    </row>
    <row r="33" spans="2:10" x14ac:dyDescent="0.2">
      <c r="B33" s="9"/>
      <c r="C33" s="183"/>
      <c r="D33" s="9"/>
      <c r="E33" s="198" t="s">
        <v>10</v>
      </c>
      <c r="F33" s="139">
        <v>3.6085455678403301E-2</v>
      </c>
      <c r="G33" s="101">
        <v>7</v>
      </c>
      <c r="H33" s="104">
        <v>1</v>
      </c>
      <c r="I33" s="9"/>
    </row>
    <row r="34" spans="2:10" x14ac:dyDescent="0.2">
      <c r="B34" s="9"/>
      <c r="C34" s="183"/>
      <c r="D34" s="9"/>
      <c r="E34" s="198" t="s">
        <v>11</v>
      </c>
      <c r="F34" s="139">
        <v>7641.0187630774426</v>
      </c>
      <c r="G34" s="101">
        <v>1191697</v>
      </c>
      <c r="H34" s="104">
        <v>3</v>
      </c>
      <c r="I34" s="9"/>
    </row>
    <row r="35" spans="2:10" x14ac:dyDescent="0.2">
      <c r="B35" s="9"/>
      <c r="C35" s="183"/>
      <c r="D35" s="9"/>
      <c r="E35" s="198" t="s">
        <v>12</v>
      </c>
      <c r="F35" s="139">
        <v>10.408826040104008</v>
      </c>
      <c r="G35" s="101">
        <v>1242</v>
      </c>
      <c r="H35" s="104">
        <v>6</v>
      </c>
      <c r="I35" s="9"/>
    </row>
    <row r="36" spans="2:10" x14ac:dyDescent="0.2">
      <c r="B36" s="9"/>
      <c r="C36" s="183"/>
      <c r="D36" s="9"/>
      <c r="E36" s="198" t="s">
        <v>13</v>
      </c>
      <c r="F36" s="139">
        <v>2543.1253038151153</v>
      </c>
      <c r="G36" s="101">
        <v>394849</v>
      </c>
      <c r="H36" s="104">
        <v>19</v>
      </c>
      <c r="I36" s="9"/>
    </row>
    <row r="37" spans="2:10" x14ac:dyDescent="0.2">
      <c r="B37" s="9"/>
      <c r="C37" s="183"/>
      <c r="D37" s="9"/>
      <c r="E37" s="198" t="s">
        <v>14</v>
      </c>
      <c r="F37" s="139">
        <v>3643.0223703114275</v>
      </c>
      <c r="G37" s="101">
        <v>1453024</v>
      </c>
      <c r="H37" s="104">
        <v>8</v>
      </c>
      <c r="I37" s="9"/>
    </row>
    <row r="38" spans="2:10" x14ac:dyDescent="0.2">
      <c r="B38" s="9"/>
      <c r="C38" s="183"/>
      <c r="D38" s="9"/>
      <c r="E38" s="198" t="s">
        <v>15</v>
      </c>
      <c r="F38" s="139">
        <v>1110.1082004867492</v>
      </c>
      <c r="G38" s="101">
        <v>172902</v>
      </c>
      <c r="H38" s="104">
        <v>4</v>
      </c>
      <c r="I38" s="9"/>
    </row>
    <row r="39" spans="2:10" x14ac:dyDescent="0.2">
      <c r="B39" s="9"/>
      <c r="C39" s="183"/>
      <c r="D39" s="9"/>
      <c r="E39" s="198" t="s">
        <v>16</v>
      </c>
      <c r="F39" s="139">
        <v>813.74028784036602</v>
      </c>
      <c r="G39" s="101">
        <v>252211</v>
      </c>
      <c r="H39" s="104">
        <v>10</v>
      </c>
      <c r="I39" s="9"/>
    </row>
    <row r="40" spans="2:10" x14ac:dyDescent="0.2">
      <c r="B40" s="9"/>
      <c r="C40" s="183"/>
      <c r="D40" s="9"/>
      <c r="E40" s="198" t="s">
        <v>17</v>
      </c>
      <c r="F40" s="139">
        <v>25964.087794166975</v>
      </c>
      <c r="G40" s="101">
        <v>10096212</v>
      </c>
      <c r="H40" s="104">
        <v>44</v>
      </c>
      <c r="I40" s="9"/>
    </row>
    <row r="41" spans="2:10" x14ac:dyDescent="0.2">
      <c r="B41" s="9"/>
      <c r="C41" s="183"/>
      <c r="D41" s="9"/>
      <c r="E41" s="198" t="s">
        <v>18</v>
      </c>
      <c r="F41" s="139">
        <v>579.62500503100387</v>
      </c>
      <c r="G41" s="101">
        <v>96575</v>
      </c>
      <c r="H41" s="104">
        <v>374</v>
      </c>
      <c r="I41" s="9"/>
    </row>
    <row r="42" spans="2:10" x14ac:dyDescent="0.2">
      <c r="B42" s="9"/>
      <c r="C42" s="183"/>
      <c r="D42" s="9"/>
      <c r="E42" s="198" t="s">
        <v>117</v>
      </c>
      <c r="F42" s="139">
        <v>185222.40192236652</v>
      </c>
      <c r="G42" s="101">
        <v>58112785</v>
      </c>
      <c r="H42" s="104">
        <v>35</v>
      </c>
      <c r="I42" s="9"/>
    </row>
    <row r="43" spans="2:10" x14ac:dyDescent="0.2">
      <c r="B43" s="9"/>
      <c r="C43" s="183"/>
      <c r="D43" s="9"/>
      <c r="E43" s="198" t="s">
        <v>19</v>
      </c>
      <c r="F43" s="139">
        <v>0.50957014784216814</v>
      </c>
      <c r="G43" s="101">
        <v>88</v>
      </c>
      <c r="H43" s="104">
        <v>3</v>
      </c>
      <c r="I43" s="9"/>
      <c r="J43" s="250"/>
    </row>
    <row r="44" spans="2:10" ht="17" thickBot="1" x14ac:dyDescent="0.25">
      <c r="B44" s="9"/>
      <c r="C44" s="183"/>
      <c r="D44" s="9"/>
      <c r="E44" s="198" t="s">
        <v>20</v>
      </c>
      <c r="F44" s="139">
        <v>0.2495188908651462</v>
      </c>
      <c r="G44" s="101">
        <v>86</v>
      </c>
      <c r="H44" s="104">
        <v>2</v>
      </c>
      <c r="I44" s="9" t="s">
        <v>165</v>
      </c>
      <c r="J44" s="251"/>
    </row>
    <row r="45" spans="2:10" ht="17" thickBot="1" x14ac:dyDescent="0.25">
      <c r="B45" s="9"/>
      <c r="C45" s="183"/>
      <c r="D45" s="142" t="s">
        <v>41</v>
      </c>
      <c r="E45" s="188"/>
      <c r="F45" s="189">
        <v>3094.2160436874237</v>
      </c>
      <c r="G45" s="190">
        <v>212078</v>
      </c>
      <c r="H45" s="191">
        <v>43</v>
      </c>
      <c r="I45" s="9" t="s">
        <v>165</v>
      </c>
      <c r="J45" s="251"/>
    </row>
    <row r="46" spans="2:10" x14ac:dyDescent="0.2">
      <c r="B46" s="9"/>
      <c r="C46" s="183"/>
      <c r="D46" s="9"/>
      <c r="E46" s="198" t="s">
        <v>8</v>
      </c>
      <c r="F46" s="139">
        <v>15.277341174893071</v>
      </c>
      <c r="G46" s="101">
        <v>1829</v>
      </c>
      <c r="H46" s="104">
        <v>2</v>
      </c>
      <c r="I46" s="9"/>
      <c r="J46" s="251"/>
    </row>
    <row r="47" spans="2:10" x14ac:dyDescent="0.2">
      <c r="B47" s="9"/>
      <c r="C47" s="183"/>
      <c r="D47" s="9"/>
      <c r="E47" s="198" t="s">
        <v>13</v>
      </c>
      <c r="F47" s="139">
        <v>1.47086689248681E-2</v>
      </c>
      <c r="G47" s="101">
        <v>1</v>
      </c>
      <c r="H47" s="104">
        <v>1</v>
      </c>
      <c r="I47" s="9" t="s">
        <v>165</v>
      </c>
      <c r="J47" s="251"/>
    </row>
    <row r="48" spans="2:10" x14ac:dyDescent="0.2">
      <c r="B48" s="9"/>
      <c r="C48" s="183"/>
      <c r="D48" s="9"/>
      <c r="E48" s="198" t="s">
        <v>14</v>
      </c>
      <c r="F48" s="139">
        <v>3020.267341216093</v>
      </c>
      <c r="G48" s="101">
        <v>200687</v>
      </c>
      <c r="H48" s="104">
        <v>2</v>
      </c>
      <c r="I48" s="9" t="s">
        <v>165</v>
      </c>
      <c r="J48" s="251"/>
    </row>
    <row r="49" spans="2:10" x14ac:dyDescent="0.2">
      <c r="B49" s="9"/>
      <c r="C49" s="183"/>
      <c r="D49" s="9"/>
      <c r="E49" s="198" t="s">
        <v>17</v>
      </c>
      <c r="F49" s="139">
        <v>0.66381130181252834</v>
      </c>
      <c r="G49" s="101">
        <v>3877</v>
      </c>
      <c r="H49" s="104">
        <v>6</v>
      </c>
      <c r="I49" s="9"/>
      <c r="J49" s="251"/>
    </row>
    <row r="50" spans="2:10" x14ac:dyDescent="0.2">
      <c r="B50" s="9"/>
      <c r="C50" s="183"/>
      <c r="D50" s="9"/>
      <c r="E50" s="198" t="s">
        <v>18</v>
      </c>
      <c r="F50" s="139">
        <v>7.2227557720616442</v>
      </c>
      <c r="G50" s="101">
        <v>1062</v>
      </c>
      <c r="H50" s="104">
        <v>21</v>
      </c>
      <c r="I50" s="9"/>
      <c r="J50" s="251"/>
    </row>
    <row r="51" spans="2:10" x14ac:dyDescent="0.2">
      <c r="B51" s="9"/>
      <c r="C51" s="183"/>
      <c r="D51" s="9"/>
      <c r="E51" s="198" t="s">
        <v>117</v>
      </c>
      <c r="F51" s="139">
        <v>50.710091179236734</v>
      </c>
      <c r="G51" s="101">
        <v>4610</v>
      </c>
      <c r="H51" s="104">
        <v>10</v>
      </c>
      <c r="I51" s="9"/>
      <c r="J51" s="250"/>
    </row>
    <row r="52" spans="2:10" ht="17" thickBot="1" x14ac:dyDescent="0.25">
      <c r="B52" s="9"/>
      <c r="C52" s="183"/>
      <c r="D52" s="9"/>
      <c r="E52" s="198" t="s">
        <v>20</v>
      </c>
      <c r="F52" s="139">
        <v>5.9994374401867299E-2</v>
      </c>
      <c r="G52" s="101">
        <v>12</v>
      </c>
      <c r="H52" s="104">
        <v>1</v>
      </c>
      <c r="I52" s="9"/>
      <c r="J52" s="251"/>
    </row>
    <row r="53" spans="2:10" ht="17" thickBot="1" x14ac:dyDescent="0.25">
      <c r="B53" s="9"/>
      <c r="C53" s="183"/>
      <c r="D53" s="142" t="s">
        <v>200</v>
      </c>
      <c r="E53" s="188"/>
      <c r="F53" s="189">
        <v>1.6494682990014501E-2</v>
      </c>
      <c r="G53" s="190">
        <v>2</v>
      </c>
      <c r="H53" s="191">
        <v>1</v>
      </c>
      <c r="I53" s="9"/>
      <c r="J53" s="251"/>
    </row>
    <row r="54" spans="2:10" ht="17" thickBot="1" x14ac:dyDescent="0.25">
      <c r="B54" s="9"/>
      <c r="C54" s="183"/>
      <c r="D54" s="9"/>
      <c r="E54" s="198" t="s">
        <v>117</v>
      </c>
      <c r="F54" s="139">
        <v>1.6494682990014501E-2</v>
      </c>
      <c r="G54" s="101">
        <v>2</v>
      </c>
      <c r="H54" s="104">
        <v>1</v>
      </c>
      <c r="I54" s="9"/>
      <c r="J54" s="251"/>
    </row>
    <row r="55" spans="2:10" ht="17" thickBot="1" x14ac:dyDescent="0.25">
      <c r="B55" s="9"/>
      <c r="C55" s="183"/>
      <c r="D55" s="142" t="s">
        <v>136</v>
      </c>
      <c r="E55" s="188"/>
      <c r="F55" s="189">
        <v>37990.40592504754</v>
      </c>
      <c r="G55" s="190">
        <v>171691</v>
      </c>
      <c r="H55" s="191">
        <v>183</v>
      </c>
      <c r="I55" s="9"/>
      <c r="J55" s="251"/>
    </row>
    <row r="56" spans="2:10" x14ac:dyDescent="0.2">
      <c r="B56" s="9"/>
      <c r="C56" s="183"/>
      <c r="D56" s="9"/>
      <c r="E56" s="198" t="s">
        <v>8</v>
      </c>
      <c r="F56" s="139">
        <v>7.6165834153071001</v>
      </c>
      <c r="G56" s="101">
        <v>162</v>
      </c>
      <c r="H56" s="104">
        <v>1</v>
      </c>
      <c r="I56" s="9"/>
      <c r="J56" s="251"/>
    </row>
    <row r="57" spans="2:10" x14ac:dyDescent="0.2">
      <c r="B57" s="9"/>
      <c r="C57" s="183"/>
      <c r="D57" s="9"/>
      <c r="E57" s="198" t="s">
        <v>10</v>
      </c>
      <c r="F57" s="139">
        <v>1.1118453880771899</v>
      </c>
      <c r="G57" s="101">
        <v>12</v>
      </c>
      <c r="H57" s="104">
        <v>1</v>
      </c>
      <c r="I57" s="9"/>
      <c r="J57" s="251"/>
    </row>
    <row r="58" spans="2:10" x14ac:dyDescent="0.2">
      <c r="B58" s="9"/>
      <c r="C58" s="183"/>
      <c r="D58" s="9"/>
      <c r="E58" s="198" t="s">
        <v>12</v>
      </c>
      <c r="F58" s="139">
        <v>0.4296875</v>
      </c>
      <c r="G58" s="101">
        <v>1</v>
      </c>
      <c r="H58" s="104">
        <v>1</v>
      </c>
      <c r="I58" s="9"/>
      <c r="J58" s="251"/>
    </row>
    <row r="59" spans="2:10" x14ac:dyDescent="0.2">
      <c r="B59" s="9"/>
      <c r="C59" s="183"/>
      <c r="D59" s="9"/>
      <c r="E59" s="198" t="s">
        <v>13</v>
      </c>
      <c r="F59" s="139">
        <v>11530.457554860968</v>
      </c>
      <c r="G59" s="101">
        <v>44670</v>
      </c>
      <c r="H59" s="104">
        <v>25</v>
      </c>
      <c r="I59" s="9"/>
      <c r="J59" s="251"/>
    </row>
    <row r="60" spans="2:10" x14ac:dyDescent="0.2">
      <c r="B60" s="9"/>
      <c r="C60" s="183"/>
      <c r="D60" s="9"/>
      <c r="E60" s="198" t="s">
        <v>14</v>
      </c>
      <c r="F60" s="139">
        <v>35.0078125</v>
      </c>
      <c r="G60" s="101">
        <v>108</v>
      </c>
      <c r="H60" s="104">
        <v>1</v>
      </c>
      <c r="I60" s="9"/>
      <c r="J60" s="251"/>
    </row>
    <row r="61" spans="2:10" x14ac:dyDescent="0.2">
      <c r="B61" s="9"/>
      <c r="C61" s="183"/>
      <c r="D61" s="9"/>
      <c r="E61" s="198" t="s">
        <v>15</v>
      </c>
      <c r="F61" s="139">
        <v>163.94944294542</v>
      </c>
      <c r="G61" s="101">
        <v>464</v>
      </c>
      <c r="H61" s="104">
        <v>1</v>
      </c>
      <c r="I61" s="9"/>
      <c r="J61" s="251"/>
    </row>
    <row r="62" spans="2:10" x14ac:dyDescent="0.2">
      <c r="B62" s="9"/>
      <c r="C62" s="183"/>
      <c r="D62" s="9"/>
      <c r="E62" s="198" t="s">
        <v>16</v>
      </c>
      <c r="F62" s="139">
        <v>1.1383272632956429</v>
      </c>
      <c r="G62" s="101">
        <v>17</v>
      </c>
      <c r="H62" s="104">
        <v>3</v>
      </c>
      <c r="I62" s="9"/>
    </row>
    <row r="63" spans="2:10" x14ac:dyDescent="0.2">
      <c r="B63" s="9"/>
      <c r="C63" s="183"/>
      <c r="D63" s="9"/>
      <c r="E63" s="198" t="s">
        <v>17</v>
      </c>
      <c r="F63" s="139">
        <v>6032.6981409042955</v>
      </c>
      <c r="G63" s="101">
        <v>49867</v>
      </c>
      <c r="H63" s="104">
        <v>22</v>
      </c>
      <c r="I63" s="9"/>
    </row>
    <row r="64" spans="2:10" x14ac:dyDescent="0.2">
      <c r="B64" s="9"/>
      <c r="C64" s="183"/>
      <c r="D64" s="9"/>
      <c r="E64" s="198" t="s">
        <v>18</v>
      </c>
      <c r="F64" s="139">
        <v>92.328399526886471</v>
      </c>
      <c r="G64" s="101">
        <v>16197</v>
      </c>
      <c r="H64" s="104">
        <v>116</v>
      </c>
      <c r="I64" s="9"/>
    </row>
    <row r="65" spans="2:9" x14ac:dyDescent="0.2">
      <c r="B65" s="9"/>
      <c r="C65" s="183"/>
      <c r="D65" s="9"/>
      <c r="E65" s="198" t="s">
        <v>117</v>
      </c>
      <c r="F65" s="139">
        <v>20125.662632160787</v>
      </c>
      <c r="G65" s="101">
        <v>60165</v>
      </c>
      <c r="H65" s="104">
        <v>11</v>
      </c>
      <c r="I65" s="9"/>
    </row>
    <row r="66" spans="2:9" ht="17" thickBot="1" x14ac:dyDescent="0.25">
      <c r="B66" s="9"/>
      <c r="C66" s="183"/>
      <c r="D66" s="9"/>
      <c r="E66" s="198" t="s">
        <v>20</v>
      </c>
      <c r="F66" s="139">
        <v>5.4985824972391103E-3</v>
      </c>
      <c r="G66" s="101">
        <v>28</v>
      </c>
      <c r="H66" s="104">
        <v>1</v>
      </c>
      <c r="I66" s="9"/>
    </row>
    <row r="67" spans="2:9" ht="17" thickBot="1" x14ac:dyDescent="0.25">
      <c r="B67" s="9"/>
      <c r="C67" s="183"/>
      <c r="D67" s="142" t="s">
        <v>139</v>
      </c>
      <c r="E67" s="188"/>
      <c r="F67" s="189">
        <v>521.13168320245916</v>
      </c>
      <c r="G67" s="190">
        <v>9063</v>
      </c>
      <c r="H67" s="191">
        <v>277</v>
      </c>
      <c r="I67" s="9"/>
    </row>
    <row r="68" spans="2:9" x14ac:dyDescent="0.2">
      <c r="B68" s="9"/>
      <c r="C68" s="183"/>
      <c r="D68" s="9"/>
      <c r="E68" s="198" t="s">
        <v>13</v>
      </c>
      <c r="F68" s="139">
        <v>306.69096424709977</v>
      </c>
      <c r="G68" s="101">
        <v>581</v>
      </c>
      <c r="H68" s="104">
        <v>7</v>
      </c>
      <c r="I68" s="9"/>
    </row>
    <row r="69" spans="2:9" x14ac:dyDescent="0.2">
      <c r="B69" s="9"/>
      <c r="C69" s="183"/>
      <c r="D69" s="9"/>
      <c r="E69" s="198" t="s">
        <v>17</v>
      </c>
      <c r="F69" s="139">
        <v>71.775251342914871</v>
      </c>
      <c r="G69" s="101">
        <v>35</v>
      </c>
      <c r="H69" s="104">
        <v>4</v>
      </c>
      <c r="I69" s="9"/>
    </row>
    <row r="70" spans="2:9" x14ac:dyDescent="0.2">
      <c r="B70" s="9"/>
      <c r="C70" s="183"/>
      <c r="D70" s="9"/>
      <c r="E70" s="198" t="s">
        <v>18</v>
      </c>
      <c r="F70" s="139">
        <v>11.988862039521321</v>
      </c>
      <c r="G70" s="101">
        <v>8209</v>
      </c>
      <c r="H70" s="104">
        <v>262</v>
      </c>
      <c r="I70" s="9"/>
    </row>
    <row r="71" spans="2:9" ht="17" thickBot="1" x14ac:dyDescent="0.25">
      <c r="B71" s="9"/>
      <c r="C71" s="183"/>
      <c r="D71" s="9"/>
      <c r="E71" s="198" t="s">
        <v>117</v>
      </c>
      <c r="F71" s="139">
        <v>130.67660557292317</v>
      </c>
      <c r="G71" s="101">
        <v>238</v>
      </c>
      <c r="H71" s="104">
        <v>4</v>
      </c>
      <c r="I71" s="9"/>
    </row>
    <row r="72" spans="2:9" ht="17" thickBot="1" x14ac:dyDescent="0.25">
      <c r="B72" s="9"/>
      <c r="C72" s="184" t="s">
        <v>2</v>
      </c>
      <c r="D72" s="185"/>
      <c r="E72" s="185"/>
      <c r="F72" s="186">
        <v>2718.6630748072566</v>
      </c>
      <c r="G72" s="187">
        <v>2756214</v>
      </c>
      <c r="H72" s="192">
        <v>19</v>
      </c>
      <c r="I72" s="9"/>
    </row>
    <row r="73" spans="2:9" ht="18" thickTop="1" thickBot="1" x14ac:dyDescent="0.25">
      <c r="B73" s="9"/>
      <c r="C73" s="183"/>
      <c r="D73" s="197" t="s">
        <v>43</v>
      </c>
      <c r="E73" s="9"/>
      <c r="F73" s="193">
        <v>709.28804419562027</v>
      </c>
      <c r="G73" s="194">
        <v>991561</v>
      </c>
      <c r="H73" s="195">
        <v>14</v>
      </c>
      <c r="I73" s="9"/>
    </row>
    <row r="74" spans="2:9" x14ac:dyDescent="0.2">
      <c r="B74" s="9"/>
      <c r="C74" s="183"/>
      <c r="D74" s="9"/>
      <c r="E74" s="198" t="s">
        <v>7</v>
      </c>
      <c r="F74" s="139">
        <v>192.56345187127499</v>
      </c>
      <c r="G74" s="101">
        <v>271519</v>
      </c>
      <c r="H74" s="104">
        <v>1</v>
      </c>
      <c r="I74" s="9"/>
    </row>
    <row r="75" spans="2:9" x14ac:dyDescent="0.2">
      <c r="B75" s="9"/>
      <c r="C75" s="183"/>
      <c r="D75" s="9"/>
      <c r="E75" s="198" t="s">
        <v>11</v>
      </c>
      <c r="F75" s="139">
        <v>85.553843320347326</v>
      </c>
      <c r="G75" s="101">
        <v>134066</v>
      </c>
      <c r="H75" s="104">
        <v>2</v>
      </c>
      <c r="I75" s="9"/>
    </row>
    <row r="76" spans="2:9" x14ac:dyDescent="0.2">
      <c r="B76" s="9"/>
      <c r="C76" s="183"/>
      <c r="D76" s="9"/>
      <c r="E76" s="198" t="s">
        <v>13</v>
      </c>
      <c r="F76" s="139">
        <v>428.11458642221891</v>
      </c>
      <c r="G76" s="101">
        <v>581465</v>
      </c>
      <c r="H76" s="104">
        <v>2</v>
      </c>
      <c r="I76" s="9"/>
    </row>
    <row r="77" spans="2:9" x14ac:dyDescent="0.2">
      <c r="B77" s="9"/>
      <c r="C77" s="183"/>
      <c r="D77" s="9"/>
      <c r="E77" s="198" t="s">
        <v>14</v>
      </c>
      <c r="F77" s="139">
        <v>5.7802285999059601E-2</v>
      </c>
      <c r="G77" s="101">
        <v>44</v>
      </c>
      <c r="H77" s="104">
        <v>1</v>
      </c>
      <c r="I77" s="9"/>
    </row>
    <row r="78" spans="2:9" x14ac:dyDescent="0.2">
      <c r="B78" s="9"/>
      <c r="C78" s="183"/>
      <c r="D78" s="9"/>
      <c r="E78" s="198" t="s">
        <v>17</v>
      </c>
      <c r="F78" s="139">
        <v>0.12135623581707396</v>
      </c>
      <c r="G78" s="101">
        <v>220</v>
      </c>
      <c r="H78" s="104">
        <v>2</v>
      </c>
      <c r="I78" s="9"/>
    </row>
    <row r="79" spans="2:9" x14ac:dyDescent="0.2">
      <c r="B79" s="9"/>
      <c r="C79" s="183"/>
      <c r="D79" s="9"/>
      <c r="E79" s="198" t="s">
        <v>18</v>
      </c>
      <c r="F79" s="139">
        <v>9.1347685083746757E-2</v>
      </c>
      <c r="G79" s="101">
        <v>1111</v>
      </c>
      <c r="H79" s="104">
        <v>5</v>
      </c>
      <c r="I79" s="9"/>
    </row>
    <row r="80" spans="2:9" ht="17" thickBot="1" x14ac:dyDescent="0.25">
      <c r="B80" s="9"/>
      <c r="C80" s="183"/>
      <c r="D80" s="9"/>
      <c r="E80" s="198" t="s">
        <v>117</v>
      </c>
      <c r="F80" s="139">
        <v>2.7856563748791801</v>
      </c>
      <c r="G80" s="101">
        <v>3136</v>
      </c>
      <c r="H80" s="104">
        <v>1</v>
      </c>
      <c r="I80" s="9"/>
    </row>
    <row r="81" spans="2:9" ht="17" thickBot="1" x14ac:dyDescent="0.25">
      <c r="B81" s="9"/>
      <c r="C81" s="183"/>
      <c r="D81" s="142" t="s">
        <v>45</v>
      </c>
      <c r="E81" s="188"/>
      <c r="F81" s="189">
        <v>2009.3750306116365</v>
      </c>
      <c r="G81" s="190">
        <v>1764653</v>
      </c>
      <c r="H81" s="191">
        <v>5</v>
      </c>
      <c r="I81" s="9"/>
    </row>
    <row r="82" spans="2:9" x14ac:dyDescent="0.2">
      <c r="B82" s="9"/>
      <c r="C82" s="183"/>
      <c r="D82" s="9"/>
      <c r="E82" s="198" t="s">
        <v>7</v>
      </c>
      <c r="F82" s="139">
        <v>354.743918917141</v>
      </c>
      <c r="G82" s="101">
        <v>318477</v>
      </c>
      <c r="H82" s="104">
        <v>1</v>
      </c>
      <c r="I82" s="9"/>
    </row>
    <row r="83" spans="2:9" x14ac:dyDescent="0.2">
      <c r="B83" s="9"/>
      <c r="C83" s="183"/>
      <c r="D83" s="9"/>
      <c r="E83" s="198" t="s">
        <v>11</v>
      </c>
      <c r="F83" s="139">
        <v>1654.14432433154</v>
      </c>
      <c r="G83" s="101">
        <v>1445047</v>
      </c>
      <c r="H83" s="104">
        <v>1</v>
      </c>
      <c r="I83" s="9"/>
    </row>
    <row r="84" spans="2:9" x14ac:dyDescent="0.2">
      <c r="B84" s="9"/>
      <c r="C84" s="183"/>
      <c r="D84" s="9"/>
      <c r="E84" s="198" t="s">
        <v>18</v>
      </c>
      <c r="F84" s="139">
        <v>3.6728559993207378E-2</v>
      </c>
      <c r="G84" s="101">
        <v>107</v>
      </c>
      <c r="H84" s="104">
        <v>2</v>
      </c>
      <c r="I84" s="9"/>
    </row>
    <row r="85" spans="2:9" ht="17" thickBot="1" x14ac:dyDescent="0.25">
      <c r="B85" s="9"/>
      <c r="C85" s="183"/>
      <c r="D85" s="9"/>
      <c r="E85" s="198" t="s">
        <v>117</v>
      </c>
      <c r="F85" s="139">
        <v>0.450058802962303</v>
      </c>
      <c r="G85" s="101">
        <v>1022</v>
      </c>
      <c r="H85" s="104">
        <v>1</v>
      </c>
      <c r="I85" s="9"/>
    </row>
    <row r="86" spans="2:9" ht="17" thickBot="1" x14ac:dyDescent="0.25">
      <c r="B86" s="9"/>
      <c r="C86" s="184" t="s">
        <v>3</v>
      </c>
      <c r="D86" s="185"/>
      <c r="E86" s="185"/>
      <c r="F86" s="186">
        <v>29596.831599342622</v>
      </c>
      <c r="G86" s="187">
        <v>17658305</v>
      </c>
      <c r="H86" s="192">
        <v>215</v>
      </c>
      <c r="I86" s="9"/>
    </row>
    <row r="87" spans="2:9" ht="18" thickTop="1" thickBot="1" x14ac:dyDescent="0.25">
      <c r="B87" s="9"/>
      <c r="C87" s="202"/>
      <c r="D87" s="203" t="s">
        <v>154</v>
      </c>
      <c r="E87" s="9"/>
      <c r="F87" s="193">
        <v>1.7421449087560099</v>
      </c>
      <c r="G87" s="194">
        <v>1</v>
      </c>
      <c r="H87" s="195">
        <v>1</v>
      </c>
      <c r="I87" s="9"/>
    </row>
    <row r="88" spans="2:9" ht="17" thickBot="1" x14ac:dyDescent="0.25">
      <c r="B88" s="9"/>
      <c r="C88" s="202"/>
      <c r="D88" s="223"/>
      <c r="E88" s="9" t="s">
        <v>9</v>
      </c>
      <c r="F88" s="261">
        <v>1.7421449087560099</v>
      </c>
      <c r="G88" s="262">
        <v>1</v>
      </c>
      <c r="H88" s="263">
        <v>1</v>
      </c>
      <c r="I88" s="9"/>
    </row>
    <row r="89" spans="2:9" ht="17" thickBot="1" x14ac:dyDescent="0.25">
      <c r="B89" s="9"/>
      <c r="C89" s="202"/>
      <c r="D89" s="221" t="s">
        <v>152</v>
      </c>
      <c r="E89" s="204"/>
      <c r="F89" s="205">
        <v>0.35467074997723103</v>
      </c>
      <c r="G89" s="206">
        <v>2</v>
      </c>
      <c r="H89" s="207">
        <v>1</v>
      </c>
      <c r="I89" s="9"/>
    </row>
    <row r="90" spans="2:9" ht="17" thickBot="1" x14ac:dyDescent="0.25">
      <c r="B90" s="9"/>
      <c r="C90" s="202"/>
      <c r="D90" s="9"/>
      <c r="E90" s="222" t="s">
        <v>117</v>
      </c>
      <c r="F90" s="124">
        <v>0.35467074997723103</v>
      </c>
      <c r="G90" s="125">
        <v>2</v>
      </c>
      <c r="H90" s="126">
        <v>1</v>
      </c>
      <c r="I90" s="9"/>
    </row>
    <row r="91" spans="2:9" ht="17" thickBot="1" x14ac:dyDescent="0.25">
      <c r="B91" s="9"/>
      <c r="C91" s="183"/>
      <c r="D91" s="142" t="s">
        <v>47</v>
      </c>
      <c r="E91" s="204"/>
      <c r="F91" s="205">
        <v>552.62122292257686</v>
      </c>
      <c r="G91" s="206">
        <v>823634</v>
      </c>
      <c r="H91" s="207">
        <v>65</v>
      </c>
      <c r="I91" s="9"/>
    </row>
    <row r="92" spans="2:9" x14ac:dyDescent="0.2">
      <c r="B92" s="9"/>
      <c r="C92" s="183"/>
      <c r="D92" s="274"/>
      <c r="E92" s="275" t="s">
        <v>12</v>
      </c>
      <c r="F92" s="276">
        <v>0.11240401584655001</v>
      </c>
      <c r="G92" s="277">
        <v>549</v>
      </c>
      <c r="H92" s="278">
        <v>1</v>
      </c>
      <c r="I92" s="9"/>
    </row>
    <row r="93" spans="2:9" x14ac:dyDescent="0.2">
      <c r="B93" s="9"/>
      <c r="C93" s="183"/>
      <c r="D93" s="274"/>
      <c r="E93" s="275" t="s">
        <v>13</v>
      </c>
      <c r="F93" s="276">
        <v>0.79092053510248606</v>
      </c>
      <c r="G93" s="277">
        <v>1702</v>
      </c>
      <c r="H93" s="278">
        <v>3</v>
      </c>
      <c r="I93" s="9"/>
    </row>
    <row r="94" spans="2:9" x14ac:dyDescent="0.2">
      <c r="B94" s="9"/>
      <c r="C94" s="183"/>
      <c r="D94" s="274"/>
      <c r="E94" s="275" t="s">
        <v>16</v>
      </c>
      <c r="F94" s="276">
        <v>160.4948273301116</v>
      </c>
      <c r="G94" s="277">
        <v>677819</v>
      </c>
      <c r="H94" s="278">
        <v>6</v>
      </c>
      <c r="I94" s="9"/>
    </row>
    <row r="95" spans="2:9" x14ac:dyDescent="0.2">
      <c r="B95" s="9"/>
      <c r="C95" s="183"/>
      <c r="D95" s="274"/>
      <c r="E95" s="275" t="s">
        <v>17</v>
      </c>
      <c r="F95" s="276">
        <v>18.400734740309364</v>
      </c>
      <c r="G95" s="277">
        <v>7614</v>
      </c>
      <c r="H95" s="278">
        <v>7</v>
      </c>
      <c r="I95" s="9"/>
    </row>
    <row r="96" spans="2:9" x14ac:dyDescent="0.2">
      <c r="B96" s="9"/>
      <c r="C96" s="183"/>
      <c r="D96" s="274"/>
      <c r="E96" s="275" t="s">
        <v>18</v>
      </c>
      <c r="F96" s="276">
        <v>2.1549148308113146</v>
      </c>
      <c r="G96" s="277">
        <v>4043</v>
      </c>
      <c r="H96" s="278">
        <v>44</v>
      </c>
      <c r="I96" s="9"/>
    </row>
    <row r="97" spans="2:9" ht="17" thickBot="1" x14ac:dyDescent="0.25">
      <c r="B97" s="9"/>
      <c r="C97" s="183"/>
      <c r="D97" s="9"/>
      <c r="E97" s="198" t="s">
        <v>117</v>
      </c>
      <c r="F97" s="139">
        <v>370.66742147039554</v>
      </c>
      <c r="G97" s="101">
        <v>131907</v>
      </c>
      <c r="H97" s="104">
        <v>4</v>
      </c>
      <c r="I97" s="9"/>
    </row>
    <row r="98" spans="2:9" ht="17" thickBot="1" x14ac:dyDescent="0.25">
      <c r="B98" s="9"/>
      <c r="C98" s="183"/>
      <c r="D98" s="142" t="s">
        <v>49</v>
      </c>
      <c r="E98" s="188"/>
      <c r="F98" s="189">
        <v>25467.430001731951</v>
      </c>
      <c r="G98" s="190">
        <v>9297169</v>
      </c>
      <c r="H98" s="191">
        <v>71</v>
      </c>
      <c r="I98" s="9"/>
    </row>
    <row r="99" spans="2:9" x14ac:dyDescent="0.2">
      <c r="B99" s="9"/>
      <c r="C99" s="183"/>
      <c r="D99" s="9"/>
      <c r="E99" s="198" t="s">
        <v>11</v>
      </c>
      <c r="F99" s="139">
        <v>508.113837074488</v>
      </c>
      <c r="G99" s="101">
        <v>161418</v>
      </c>
      <c r="H99" s="104">
        <v>1</v>
      </c>
      <c r="I99" s="9"/>
    </row>
    <row r="100" spans="2:9" x14ac:dyDescent="0.2">
      <c r="B100" s="9"/>
      <c r="C100" s="183"/>
      <c r="D100" s="9"/>
      <c r="E100" s="198" t="s">
        <v>12</v>
      </c>
      <c r="F100" s="139">
        <v>0.304550586268305</v>
      </c>
      <c r="G100" s="101">
        <v>1162</v>
      </c>
      <c r="H100" s="104">
        <v>1</v>
      </c>
      <c r="I100" s="9"/>
    </row>
    <row r="101" spans="2:9" x14ac:dyDescent="0.2">
      <c r="B101" s="9"/>
      <c r="C101" s="183"/>
      <c r="D101" s="9"/>
      <c r="E101" s="198" t="s">
        <v>13</v>
      </c>
      <c r="F101" s="139">
        <v>65.117458854801896</v>
      </c>
      <c r="G101" s="101">
        <v>151147</v>
      </c>
      <c r="H101" s="104">
        <v>7</v>
      </c>
      <c r="I101" s="9"/>
    </row>
    <row r="102" spans="2:9" x14ac:dyDescent="0.2">
      <c r="B102" s="9"/>
      <c r="C102" s="183"/>
      <c r="D102" s="9"/>
      <c r="E102" s="198" t="s">
        <v>14</v>
      </c>
      <c r="F102" s="139">
        <v>3.615540079772471E-2</v>
      </c>
      <c r="G102" s="101">
        <v>10</v>
      </c>
      <c r="H102" s="104">
        <v>2</v>
      </c>
      <c r="I102" s="9"/>
    </row>
    <row r="103" spans="2:9" x14ac:dyDescent="0.2">
      <c r="B103" s="9"/>
      <c r="C103" s="183"/>
      <c r="D103" s="9"/>
      <c r="E103" s="198" t="s">
        <v>16</v>
      </c>
      <c r="F103" s="139">
        <v>273.12337059993217</v>
      </c>
      <c r="G103" s="101">
        <v>1209313</v>
      </c>
      <c r="H103" s="104">
        <v>13</v>
      </c>
      <c r="I103" s="9"/>
    </row>
    <row r="104" spans="2:9" x14ac:dyDescent="0.2">
      <c r="B104" s="9"/>
      <c r="C104" s="183"/>
      <c r="D104" s="9"/>
      <c r="E104" s="198" t="s">
        <v>17</v>
      </c>
      <c r="F104" s="139">
        <v>8.1868787985294933</v>
      </c>
      <c r="G104" s="101">
        <v>9040</v>
      </c>
      <c r="H104" s="104">
        <v>13</v>
      </c>
      <c r="I104" s="9"/>
    </row>
    <row r="105" spans="2:9" x14ac:dyDescent="0.2">
      <c r="B105" s="9"/>
      <c r="C105" s="183"/>
      <c r="D105" s="9"/>
      <c r="E105" s="198" t="s">
        <v>18</v>
      </c>
      <c r="F105" s="139">
        <v>21.222661937586949</v>
      </c>
      <c r="G105" s="101">
        <v>56102</v>
      </c>
      <c r="H105" s="104">
        <v>27</v>
      </c>
      <c r="I105" s="9"/>
    </row>
    <row r="106" spans="2:9" ht="17" thickBot="1" x14ac:dyDescent="0.25">
      <c r="B106" s="9"/>
      <c r="C106" s="183"/>
      <c r="D106" s="9"/>
      <c r="E106" s="198" t="s">
        <v>117</v>
      </c>
      <c r="F106" s="139">
        <v>24591.325088479545</v>
      </c>
      <c r="G106" s="101">
        <v>7708977</v>
      </c>
      <c r="H106" s="104">
        <v>7</v>
      </c>
      <c r="I106" s="9"/>
    </row>
    <row r="107" spans="2:9" ht="17" thickBot="1" x14ac:dyDescent="0.25">
      <c r="B107" s="9"/>
      <c r="C107" s="183"/>
      <c r="D107" s="142" t="s">
        <v>127</v>
      </c>
      <c r="E107" s="188"/>
      <c r="F107" s="189">
        <v>3574.6835590293608</v>
      </c>
      <c r="G107" s="190">
        <v>7537499</v>
      </c>
      <c r="H107" s="191">
        <v>77</v>
      </c>
      <c r="I107" s="9"/>
    </row>
    <row r="108" spans="2:9" x14ac:dyDescent="0.2">
      <c r="B108" s="9"/>
      <c r="C108" s="183"/>
      <c r="D108" s="9"/>
      <c r="E108" s="198" t="s">
        <v>13</v>
      </c>
      <c r="F108" s="139">
        <v>1.8395368196070112</v>
      </c>
      <c r="G108" s="101">
        <v>8209</v>
      </c>
      <c r="H108" s="104">
        <v>5</v>
      </c>
      <c r="I108" s="9"/>
    </row>
    <row r="109" spans="2:9" x14ac:dyDescent="0.2">
      <c r="B109" s="9"/>
      <c r="C109" s="183"/>
      <c r="D109" s="9"/>
      <c r="E109" s="198" t="s">
        <v>16</v>
      </c>
      <c r="F109" s="139">
        <v>117.39827793929688</v>
      </c>
      <c r="G109" s="101">
        <v>464461</v>
      </c>
      <c r="H109" s="104">
        <v>9</v>
      </c>
      <c r="I109" s="9"/>
    </row>
    <row r="110" spans="2:9" x14ac:dyDescent="0.2">
      <c r="B110" s="9"/>
      <c r="C110" s="183"/>
      <c r="D110" s="9"/>
      <c r="E110" s="198" t="s">
        <v>17</v>
      </c>
      <c r="F110" s="139">
        <v>1.1173744145780737</v>
      </c>
      <c r="G110" s="101">
        <v>76</v>
      </c>
      <c r="H110" s="104">
        <v>7</v>
      </c>
      <c r="I110" s="9"/>
    </row>
    <row r="111" spans="2:9" x14ac:dyDescent="0.2">
      <c r="B111" s="9"/>
      <c r="C111" s="183"/>
      <c r="D111" s="9"/>
      <c r="E111" s="198" t="s">
        <v>18</v>
      </c>
      <c r="F111" s="139">
        <v>92.759371325373536</v>
      </c>
      <c r="G111" s="101">
        <v>485258</v>
      </c>
      <c r="H111" s="104">
        <v>40</v>
      </c>
      <c r="I111" s="9"/>
    </row>
    <row r="112" spans="2:9" x14ac:dyDescent="0.2">
      <c r="B112" s="9"/>
      <c r="C112" s="183"/>
      <c r="D112" s="9"/>
      <c r="E112" s="198" t="s">
        <v>117</v>
      </c>
      <c r="F112" s="139">
        <v>3361.4845338612777</v>
      </c>
      <c r="G112" s="101">
        <v>6579291</v>
      </c>
      <c r="H112" s="104">
        <v>15</v>
      </c>
      <c r="I112" s="9"/>
    </row>
    <row r="113" spans="2:9" ht="17" thickBot="1" x14ac:dyDescent="0.25">
      <c r="B113" s="9"/>
      <c r="C113" s="183"/>
      <c r="D113" s="9"/>
      <c r="E113" s="198" t="s">
        <v>19</v>
      </c>
      <c r="F113" s="139">
        <v>8.4464669227600001E-2</v>
      </c>
      <c r="G113" s="101">
        <v>204</v>
      </c>
      <c r="H113" s="104">
        <v>1</v>
      </c>
      <c r="I113" s="9"/>
    </row>
    <row r="114" spans="2:9" ht="17" thickBot="1" x14ac:dyDescent="0.25">
      <c r="B114" s="9"/>
      <c r="C114" s="196"/>
      <c r="D114" s="142" t="s">
        <v>4</v>
      </c>
      <c r="E114" s="67"/>
      <c r="F114" s="96">
        <v>3602126.4780226187</v>
      </c>
      <c r="G114" s="94">
        <v>107400939</v>
      </c>
      <c r="H114" s="95">
        <v>1420</v>
      </c>
      <c r="I114" s="9"/>
    </row>
    <row r="115" spans="2:9" x14ac:dyDescent="0.2">
      <c r="B115" s="9"/>
      <c r="C115" s="6"/>
      <c r="D115" s="9"/>
      <c r="E115" s="9"/>
      <c r="F115" s="9"/>
      <c r="G115" s="9"/>
      <c r="H115" s="9"/>
      <c r="I115"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Weir, Heather (GSFC-610.1)[ADNET SYSTEMS INC]</cp:lastModifiedBy>
  <dcterms:created xsi:type="dcterms:W3CDTF">2024-09-09T15:09:53Z</dcterms:created>
  <dcterms:modified xsi:type="dcterms:W3CDTF">2026-04-10T17:19:50Z</dcterms:modified>
</cp:coreProperties>
</file>