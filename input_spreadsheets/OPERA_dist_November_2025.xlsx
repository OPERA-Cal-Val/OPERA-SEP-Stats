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sangha/Downloads/"/>
    </mc:Choice>
  </mc:AlternateContent>
  <xr:revisionPtr revIDLastSave="0" documentId="13_ncr:1_{44661FC9-BF38-B448-97E7-0C1FB075449C}" xr6:coauthVersionLast="47" xr6:coauthVersionMax="47" xr10:uidLastSave="{00000000-0000-0000-0000-000000000000}"/>
  <bookViews>
    <workbookView xWindow="59500" yWindow="2020" windowWidth="26800" windowHeight="23280" activeTab="4"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29" r:id="rId6"/>
    <sheet name="PSA-Product" sheetId="28" r:id="rId7"/>
  </sheets>
  <definedNames>
    <definedName name="_xlnm._FilterDatabase" localSheetId="1" hidden="1">'Summary-Total'!$B$26:$E$29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22" l="1"/>
  <c r="G21" i="19"/>
  <c r="F21" i="19"/>
  <c r="E21" i="19"/>
  <c r="O101" i="1"/>
  <c r="N101" i="1"/>
  <c r="M101" i="1"/>
  <c r="E25" i="1"/>
  <c r="D25" i="1"/>
  <c r="C25" i="1"/>
  <c r="J25" i="1"/>
  <c r="I25" i="1"/>
  <c r="H25" i="1"/>
  <c r="E10" i="1"/>
  <c r="D10" i="1"/>
  <c r="C10" i="1"/>
  <c r="K43" i="27"/>
  <c r="J43" i="27"/>
  <c r="I43" i="27"/>
  <c r="F9" i="27"/>
  <c r="E9" i="27"/>
  <c r="D9" i="27"/>
</calcChain>
</file>

<file path=xl/sharedStrings.xml><?xml version="1.0" encoding="utf-8"?>
<sst xmlns="http://schemas.openxmlformats.org/spreadsheetml/2006/main" count="825" uniqueCount="193">
  <si>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</si>
  <si>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</si>
  <si>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</si>
  <si>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</si>
  <si>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</si>
  <si>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</si>
  <si>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</si>
  <si>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</si>
  <si>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</si>
  <si>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</si>
  <si>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</si>
  <si>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</si>
  <si>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</si>
  <si>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</si>
  <si>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</si>
  <si>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</si>
  <si>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</si>
  <si>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</si>
  <si>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</si>
  <si>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</si>
  <si>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</si>
  <si>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</si>
  <si>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</si>
  <si>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</si>
  <si>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</si>
  <si>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</si>
  <si>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</si>
  <si>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</si>
  <si>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</si>
  <si>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</si>
  <si>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</si>
  <si>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</si>
  <si>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</si>
  <si>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</si>
  <si>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</si>
  <si>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</si>
  <si>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</si>
  <si>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</si>
  <si>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</si>
  <si>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</si>
  <si>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</si>
  <si>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</si>
  <si>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</si>
  <si>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</si>
  <si>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</si>
  <si>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</si>
  <si>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</si>
  <si>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</si>
  <si>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</si>
  <si>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</si>
  <si>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</si>
  <si>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</si>
  <si>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</si>
  <si>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</si>
  <si>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</si>
  <si>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</si>
  <si>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</si>
  <si>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</si>
  <si>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</si>
  <si>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</si>
  <si>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</si>
  <si>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</si>
  <si>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</si>
  <si>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</si>
  <si>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</si>
  <si>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</si>
  <si>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Bolivia</t>
  </si>
  <si>
    <t>Brazil</t>
  </si>
  <si>
    <t>Canada</t>
  </si>
  <si>
    <t>Chile</t>
  </si>
  <si>
    <t>China</t>
  </si>
  <si>
    <t>Colombia</t>
  </si>
  <si>
    <t>Ecuador</t>
  </si>
  <si>
    <t>Egypt</t>
  </si>
  <si>
    <t>Ethiopia</t>
  </si>
  <si>
    <t>France</t>
  </si>
  <si>
    <t>Germany</t>
  </si>
  <si>
    <t>Greece</t>
  </si>
  <si>
    <t>Guatemala</t>
  </si>
  <si>
    <t>Honduras</t>
  </si>
  <si>
    <t>India</t>
  </si>
  <si>
    <t>Indonesia</t>
  </si>
  <si>
    <t>Iran</t>
  </si>
  <si>
    <t>Iraq</t>
  </si>
  <si>
    <t>Ireland</t>
  </si>
  <si>
    <t>Israel</t>
  </si>
  <si>
    <t>Italy</t>
  </si>
  <si>
    <t>Japan</t>
  </si>
  <si>
    <t>Malaysia</t>
  </si>
  <si>
    <t>Mexico</t>
  </si>
  <si>
    <t>Morocco</t>
  </si>
  <si>
    <t>Netherlands</t>
  </si>
  <si>
    <t>New Zealand</t>
  </si>
  <si>
    <t>Norway</t>
  </si>
  <si>
    <t>Pakistan</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</si>
  <si>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</si>
  <si>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</si>
  <si>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</si>
  <si>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</si>
  <si>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</si>
  <si>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</si>
  <si>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</si>
  <si>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</si>
  <si>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</si>
  <si>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</si>
  <si>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</si>
  <si>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</si>
  <si>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</si>
  <si>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</si>
  <si>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</si>
  <si>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</si>
  <si>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Belgium</t>
  </si>
  <si>
    <t>Bulgaria</t>
  </si>
  <si>
    <t>Guyana</t>
  </si>
  <si>
    <t>Jordan</t>
  </si>
  <si>
    <t>Kazakhstan</t>
  </si>
  <si>
    <t>Libya</t>
  </si>
  <si>
    <t>Mongolia</t>
  </si>
  <si>
    <t>Nigeria</t>
  </si>
  <si>
    <t>Portugal</t>
  </si>
  <si>
    <t>Romania</t>
  </si>
  <si>
    <t>Sri Lanka</t>
  </si>
  <si>
    <t>Syria</t>
  </si>
  <si>
    <t>Tanzania</t>
  </si>
  <si>
    <t>Thailand</t>
  </si>
  <si>
    <t>Benin</t>
  </si>
  <si>
    <t>Latvia</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</si>
  <si>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</si>
  <si>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</si>
  <si>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</si>
  <si>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</si>
  <si>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</si>
  <si>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</si>
  <si>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</si>
  <si>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</si>
  <si>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</si>
  <si>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</si>
  <si>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</si>
  <si>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Burma</t>
  </si>
  <si>
    <t>OPERA_L3_DSWX-S1_V1</t>
  </si>
  <si>
    <t>OPERA Dynamic Surface Water Extent from Sentinel-1 (Version 1)</t>
  </si>
  <si>
    <t>Fiji</t>
  </si>
  <si>
    <t>PROVIDER</t>
  </si>
  <si>
    <t>Vol GB</t>
  </si>
  <si>
    <t>#Files</t>
  </si>
  <si>
    <t>#Users</t>
  </si>
  <si>
    <t>Date</t>
  </si>
  <si>
    <t>Total:</t>
  </si>
  <si>
    <t>Total</t>
  </si>
  <si>
    <t>OPERA_L3_DISP-S1_V1</t>
  </si>
  <si>
    <t>OPERA Surface Displacement from Sentinel-1 validated product (Version 1)</t>
  </si>
  <si>
    <t>OPERA Products</t>
  </si>
  <si>
    <t>OPERA_L4_TROPO-ZENITH_V1</t>
  </si>
  <si>
    <t>OPERA Tropospheric Correction at Zenith validated product (Version 1)</t>
  </si>
  <si>
    <t>Dat Volume (GB)</t>
  </si>
  <si>
    <t># of Files</t>
  </si>
  <si>
    <t># of Users</t>
  </si>
  <si>
    <t>Data Distribution of OPERA Products By EOSDIS DAACs based on User Country</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</si>
  <si>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</si>
  <si>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</si>
  <si>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</si>
  <si>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</si>
  <si>
    <t xml:space="preserve">Total Distribution of OPERA Data Products by Provider
 (Nov 2022 - 30 November 2025)								</t>
  </si>
  <si>
    <t xml:space="preserve">Total Distribution of OPERA Data Products by Month
 (Nov 2022 - 30 November 2025)										</t>
  </si>
  <si>
    <t xml:space="preserve">9. Since November 2023, there has been significant gaps in EMS data that has been backfilled by LPDAAC. </t>
  </si>
  <si>
    <t>For November 2025</t>
  </si>
  <si>
    <t>Polar Processes</t>
  </si>
  <si>
    <t>Tropospheric Chemistry</t>
  </si>
  <si>
    <t>Bhutan</t>
  </si>
  <si>
    <t>Cameroon</t>
  </si>
  <si>
    <t>Croatia</t>
  </si>
  <si>
    <t>Czechia</t>
  </si>
  <si>
    <t>Iceland</t>
  </si>
  <si>
    <t>Kenya</t>
  </si>
  <si>
    <t>Korea South</t>
  </si>
  <si>
    <t>Macao</t>
  </si>
  <si>
    <t>Myanmar</t>
  </si>
  <si>
    <t>Namibia</t>
  </si>
  <si>
    <t>Nepal</t>
  </si>
  <si>
    <t>Nicaragua</t>
  </si>
  <si>
    <t>Papua New Guinea</t>
  </si>
  <si>
    <t>Qatar</t>
  </si>
  <si>
    <t>Russian Federation</t>
  </si>
  <si>
    <t>Serbia</t>
  </si>
  <si>
    <t>South Korea</t>
  </si>
  <si>
    <t>T¸rkiye</t>
  </si>
  <si>
    <t>The Netherlands</t>
  </si>
  <si>
    <t>Unresolvable</t>
  </si>
  <si>
    <t>Uzbekistan</t>
  </si>
  <si>
    <t>OPERA_DSWX-S1_CALVAL_V1</t>
  </si>
  <si>
    <t>OPERA Dynamic Surface Water Extent from Sentinel-1 CalVal Database (Version 1)</t>
  </si>
  <si>
    <t>Czech Republic</t>
  </si>
  <si>
    <t>Macau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</si>
</sst>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7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
      <left/>
      <right/>
      <top/>
      <bottom style="thin">
        <color theme="4" tint="0.39997558519241921"/>
      </bottom>
      <diagonal/>
    </border>
    <border>
      <left style="thin">
        <color indexed="64"/>
      </left>
      <right style="medium">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283">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43" fontId="9" fillId="0" borderId="28" xfId="1" applyFont="1" applyBorder="1"/>
    <xf numFmtId="164" fontId="0" fillId="0" borderId="50" xfId="1" applyNumberFormat="1" applyFont="1" applyBorder="1"/>
    <xf numFmtId="164" fontId="0" fillId="0" borderId="58"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9" fillId="0" borderId="29" xfId="1" applyNumberFormat="1" applyFont="1" applyBorder="1"/>
    <xf numFmtId="164" fontId="4" fillId="0" borderId="25" xfId="1" applyNumberFormat="1" applyFont="1" applyBorder="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13" xfId="0" applyFont="1" applyBorder="1" applyAlignment="1">
      <alignment horizontal="center"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60" xfId="0" applyFont="1" applyBorder="1" applyAlignment="1">
      <alignment horizontal="left" vertical="center"/>
    </xf>
    <xf numFmtId="0" fontId="0" fillId="0" borderId="36" xfId="0" applyBorder="1" applyAlignment="1">
      <alignment horizontal="left"/>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9"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51" xfId="0" applyBorder="1" applyAlignment="1">
      <alignment horizontal="lef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7"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2" xfId="0" applyNumberFormat="1" applyBorder="1" applyAlignment="1">
      <alignment vertical="center"/>
    </xf>
    <xf numFmtId="43" fontId="2" fillId="0" borderId="23" xfId="1" applyFont="1" applyFill="1" applyBorder="1" applyAlignment="1">
      <alignment vertical="center"/>
    </xf>
    <xf numFmtId="43" fontId="2" fillId="0" borderId="56"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2" fillId="0" borderId="53" xfId="0" applyFont="1" applyBorder="1" applyAlignment="1">
      <alignment horizontal="center" vertical="center"/>
    </xf>
    <xf numFmtId="0" fontId="0" fillId="0" borderId="54" xfId="0" applyBorder="1" applyAlignment="1">
      <alignment vertical="center"/>
    </xf>
    <xf numFmtId="43" fontId="2" fillId="0" borderId="54" xfId="0" applyNumberFormat="1" applyFont="1" applyBorder="1" applyAlignment="1">
      <alignment vertical="center"/>
    </xf>
    <xf numFmtId="164" fontId="2" fillId="0" borderId="54"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5"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1"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0" fontId="0" fillId="0" borderId="62" xfId="0" applyBorder="1" applyAlignment="1">
      <alignment horizontal="left" vertical="center"/>
    </xf>
    <xf numFmtId="43" fontId="0" fillId="0" borderId="36" xfId="0" applyNumberFormat="1" applyBorder="1" applyAlignment="1">
      <alignment vertical="center"/>
    </xf>
    <xf numFmtId="164" fontId="0" fillId="0" borderId="6" xfId="0" applyNumberFormat="1" applyBorder="1" applyAlignment="1">
      <alignment vertical="center"/>
    </xf>
    <xf numFmtId="164" fontId="0" fillId="0" borderId="50" xfId="0" applyNumberFormat="1" applyBorder="1" applyAlignment="1">
      <alignment vertical="center"/>
    </xf>
    <xf numFmtId="43" fontId="2" fillId="0" borderId="64" xfId="0" applyNumberFormat="1" applyFont="1" applyBorder="1"/>
    <xf numFmtId="164" fontId="2" fillId="0" borderId="64" xfId="0" applyNumberFormat="1" applyFont="1" applyBorder="1"/>
    <xf numFmtId="43" fontId="2" fillId="0" borderId="0" xfId="0" applyNumberFormat="1" applyFont="1"/>
    <xf numFmtId="164" fontId="2" fillId="0" borderId="0" xfId="0" applyNumberFormat="1" applyFont="1"/>
    <xf numFmtId="0" fontId="2" fillId="0" borderId="27" xfId="0" applyFont="1" applyBorder="1" applyAlignment="1">
      <alignment horizontal="center" vertical="center"/>
    </xf>
    <xf numFmtId="0" fontId="2" fillId="0" borderId="61" xfId="0" applyFont="1" applyBorder="1" applyAlignment="1">
      <alignment horizontal="left" indent="1"/>
    </xf>
    <xf numFmtId="0" fontId="0" fillId="0" borderId="0" xfId="0" applyAlignment="1">
      <alignment horizontal="left" indent="2"/>
    </xf>
    <xf numFmtId="0" fontId="0" fillId="0" borderId="6" xfId="0" applyBorder="1" applyAlignment="1">
      <alignment horizontal="left" indent="2"/>
    </xf>
    <xf numFmtId="0" fontId="0" fillId="0" borderId="41" xfId="0" applyBorder="1" applyAlignment="1">
      <alignment vertical="center"/>
    </xf>
    <xf numFmtId="43" fontId="2" fillId="0" borderId="41" xfId="0" applyNumberFormat="1" applyFont="1" applyBorder="1" applyAlignment="1">
      <alignment vertical="center"/>
    </xf>
    <xf numFmtId="164" fontId="2" fillId="0" borderId="41" xfId="0" applyNumberFormat="1" applyFont="1" applyBorder="1" applyAlignment="1">
      <alignment vertical="center"/>
    </xf>
    <xf numFmtId="164" fontId="2" fillId="0" borderId="48" xfId="0" applyNumberFormat="1" applyFont="1" applyBorder="1" applyAlignment="1">
      <alignment vertical="center"/>
    </xf>
    <xf numFmtId="0" fontId="9" fillId="0" borderId="35" xfId="0" applyFont="1" applyBorder="1"/>
    <xf numFmtId="0" fontId="2" fillId="0" borderId="12" xfId="0" applyFont="1" applyBorder="1"/>
    <xf numFmtId="43" fontId="9" fillId="0" borderId="28" xfId="1" applyFont="1" applyBorder="1" applyAlignment="1">
      <alignment vertical="center"/>
    </xf>
    <xf numFmtId="164" fontId="9" fillId="0" borderId="29" xfId="1" applyNumberFormat="1" applyFont="1" applyBorder="1" applyAlignment="1">
      <alignment vertical="center"/>
    </xf>
    <xf numFmtId="43" fontId="9" fillId="0" borderId="63" xfId="1" applyFont="1" applyBorder="1"/>
    <xf numFmtId="164" fontId="9" fillId="0" borderId="65" xfId="1" applyNumberFormat="1" applyFont="1" applyBorder="1"/>
    <xf numFmtId="0" fontId="9" fillId="0" borderId="0" xfId="0" applyFont="1" applyAlignment="1">
      <alignment vertical="center"/>
    </xf>
    <xf numFmtId="43" fontId="4" fillId="0" borderId="28" xfId="1" applyFont="1" applyBorder="1"/>
    <xf numFmtId="164" fontId="4" fillId="0" borderId="29" xfId="1" applyNumberFormat="1" applyFont="1" applyBorder="1"/>
    <xf numFmtId="164" fontId="0" fillId="0" borderId="0" xfId="1" applyNumberFormat="1" applyFont="1" applyAlignment="1">
      <alignment horizontal="center" vertical="center"/>
    </xf>
    <xf numFmtId="164" fontId="2" fillId="0" borderId="54" xfId="1" applyNumberFormat="1" applyFont="1" applyBorder="1" applyAlignment="1">
      <alignment vertical="center"/>
    </xf>
    <xf numFmtId="164" fontId="2" fillId="0" borderId="55" xfId="1" applyNumberFormat="1" applyFont="1" applyBorder="1" applyAlignment="1">
      <alignment vertical="center"/>
    </xf>
    <xf numFmtId="164" fontId="0" fillId="0" borderId="0" xfId="1" applyNumberFormat="1" applyFont="1"/>
    <xf numFmtId="0" fontId="4" fillId="0" borderId="27" xfId="0" applyFont="1" applyBorder="1"/>
    <xf numFmtId="0" fontId="0" fillId="0" borderId="27" xfId="0" applyBorder="1"/>
    <xf numFmtId="0" fontId="4" fillId="0" borderId="23" xfId="0" applyFont="1" applyBorder="1"/>
    <xf numFmtId="43" fontId="4" fillId="0" borderId="18" xfId="1" applyFont="1" applyBorder="1"/>
    <xf numFmtId="43" fontId="4" fillId="0" borderId="20" xfId="1" applyFont="1" applyBorder="1"/>
    <xf numFmtId="164" fontId="4" fillId="0" borderId="20" xfId="1" applyNumberFormat="1" applyFont="1" applyBorder="1"/>
    <xf numFmtId="164" fontId="4" fillId="0" borderId="21" xfId="1" applyNumberFormat="1" applyFont="1" applyBorder="1"/>
    <xf numFmtId="0" fontId="0" fillId="0" borderId="23" xfId="0" applyBorder="1"/>
    <xf numFmtId="0" fontId="4" fillId="0" borderId="66" xfId="0" applyFont="1" applyBorder="1"/>
    <xf numFmtId="43" fontId="4" fillId="0" borderId="66" xfId="1" applyFont="1" applyBorder="1"/>
    <xf numFmtId="164" fontId="4" fillId="0" borderId="66" xfId="1" applyNumberFormat="1" applyFont="1" applyBorder="1"/>
    <xf numFmtId="164" fontId="4" fillId="0" borderId="67" xfId="1" applyNumberFormat="1" applyFont="1" applyBorder="1"/>
    <xf numFmtId="43" fontId="0" fillId="0" borderId="5" xfId="1" applyFont="1" applyBorder="1"/>
    <xf numFmtId="164" fontId="0" fillId="0" borderId="5" xfId="1" applyNumberFormat="1" applyFont="1" applyBorder="1"/>
    <xf numFmtId="43" fontId="0" fillId="0" borderId="32" xfId="1" applyFont="1" applyBorder="1"/>
    <xf numFmtId="164" fontId="0" fillId="0" borderId="32" xfId="1" applyNumberFormat="1" applyFont="1" applyBorder="1"/>
    <xf numFmtId="164" fontId="0" fillId="0" borderId="46" xfId="1" applyNumberFormat="1" applyFont="1" applyBorder="1"/>
    <xf numFmtId="0" fontId="4" fillId="0" borderId="4" xfId="0" applyFont="1" applyBorder="1"/>
    <xf numFmtId="43" fontId="4" fillId="0" borderId="4" xfId="1" applyFont="1" applyBorder="1"/>
    <xf numFmtId="164" fontId="4" fillId="0" borderId="4" xfId="1" applyNumberFormat="1" applyFont="1" applyBorder="1"/>
    <xf numFmtId="43" fontId="0" fillId="0" borderId="6" xfId="1" applyFont="1" applyBorder="1"/>
    <xf numFmtId="164" fontId="0" fillId="0" borderId="6" xfId="1" applyNumberFormat="1" applyFont="1" applyBorder="1"/>
    <xf numFmtId="43" fontId="4" fillId="0" borderId="53" xfId="1" applyFont="1" applyBorder="1"/>
    <xf numFmtId="0" fontId="0" fillId="0" borderId="54" xfId="0" applyBorder="1"/>
    <xf numFmtId="0" fontId="0" fillId="0" borderId="68" xfId="0" applyBorder="1"/>
    <xf numFmtId="43" fontId="4" fillId="0" borderId="68" xfId="1" applyFont="1" applyBorder="1"/>
    <xf numFmtId="164" fontId="4" fillId="0" borderId="68" xfId="1" applyNumberFormat="1" applyFont="1" applyBorder="1"/>
    <xf numFmtId="164" fontId="4" fillId="0" borderId="69" xfId="1" applyNumberFormat="1" applyFont="1" applyBorder="1"/>
    <xf numFmtId="0" fontId="4" fillId="0" borderId="54" xfId="0" applyFont="1" applyBorder="1"/>
    <xf numFmtId="0" fontId="4" fillId="0" borderId="68" xfId="0" applyFont="1" applyBorder="1"/>
    <xf numFmtId="43" fontId="4" fillId="0" borderId="70" xfId="1" applyFont="1" applyBorder="1"/>
    <xf numFmtId="43" fontId="4" fillId="0" borderId="1" xfId="1" applyFont="1" applyBorder="1"/>
    <xf numFmtId="0" fontId="4" fillId="0" borderId="26" xfId="0" applyFont="1" applyBorder="1"/>
    <xf numFmtId="43" fontId="4" fillId="0" borderId="26" xfId="1" applyFont="1" applyBorder="1"/>
    <xf numFmtId="164" fontId="4" fillId="0" borderId="26" xfId="1" applyNumberFormat="1" applyFont="1" applyBorder="1"/>
    <xf numFmtId="164" fontId="4" fillId="0" borderId="14" xfId="1" applyNumberFormat="1" applyFont="1" applyBorder="1"/>
    <xf numFmtId="0" fontId="0" fillId="0" borderId="71" xfId="0" applyBorder="1"/>
    <xf numFmtId="43" fontId="0" fillId="0" borderId="26" xfId="1" applyFont="1" applyBorder="1"/>
    <xf numFmtId="164" fontId="0" fillId="0" borderId="26" xfId="1" applyNumberFormat="1" applyFont="1" applyBorder="1"/>
    <xf numFmtId="164" fontId="0" fillId="0" borderId="14" xfId="1" applyNumberFormat="1" applyFont="1" applyBorder="1"/>
    <xf numFmtId="0" fontId="7"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election activeCell="D13" sqref="D13"/>
    </sheetView>
  </sheetViews>
  <sheetFormatPr baseColWidth="10" defaultRowHeight="16" x14ac:dyDescent="0.2"/>
  <sheetData>
    <row r="2" spans="3:4" x14ac:dyDescent="0.2">
      <c r="C2" t="s">
        <v>129</v>
      </c>
    </row>
    <row r="4" spans="3:4" x14ac:dyDescent="0.2">
      <c r="D4" t="s">
        <v>130</v>
      </c>
    </row>
    <row r="5" spans="3:4" x14ac:dyDescent="0.2">
      <c r="D5" t="s">
        <v>131</v>
      </c>
    </row>
    <row r="6" spans="3:4" x14ac:dyDescent="0.2">
      <c r="D6" t="s">
        <v>132</v>
      </c>
    </row>
    <row r="7" spans="3:4" x14ac:dyDescent="0.2">
      <c r="D7" t="s">
        <v>133</v>
      </c>
    </row>
    <row r="8" spans="3:4" x14ac:dyDescent="0.2">
      <c r="D8" t="s">
        <v>134</v>
      </c>
    </row>
    <row r="9" spans="3:4" x14ac:dyDescent="0.2">
      <c r="D9" t="s">
        <v>135</v>
      </c>
    </row>
    <row r="10" spans="3:4" x14ac:dyDescent="0.2">
      <c r="D10" t="s">
        <v>136</v>
      </c>
    </row>
    <row r="11" spans="3:4" x14ac:dyDescent="0.2">
      <c r="D11" t="s">
        <v>137</v>
      </c>
    </row>
    <row r="12" spans="3:4" x14ac:dyDescent="0.2">
      <c r="D12" t="s">
        <v>164</v>
      </c>
    </row>
    <row r="13" spans="3:4" x14ac:dyDescent="0.2">
      <c r="D13"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3"/>
  <sheetViews>
    <sheetView workbookViewId="0"/>
  </sheetViews>
  <sheetFormatPr baseColWidth="10" defaultRowHeight="16" x14ac:dyDescent="0.2"/>
  <cols>
    <col min="2" max="2" width="8.28515625" customWidth="1"/>
    <col min="3" max="3" width="13.140625" bestFit="1" customWidth="1"/>
    <col min="4" max="4" width="15.140625" customWidth="1"/>
    <col min="5" max="5" width="12.85546875" customWidth="1"/>
    <col min="6" max="6" width="13.85546875" customWidth="1"/>
    <col min="8" max="8" width="13" customWidth="1"/>
    <col min="9" max="9" width="12.7109375" bestFit="1" customWidth="1"/>
    <col min="10" max="10" width="12" customWidth="1"/>
    <col min="11" max="11" width="14.28515625" customWidth="1"/>
  </cols>
  <sheetData>
    <row r="2" spans="3:11" s="9" customFormat="1" x14ac:dyDescent="0.2"/>
    <row r="3" spans="3:11" s="9" customFormat="1" ht="35" customHeight="1" x14ac:dyDescent="0.2">
      <c r="C3" s="275" t="s">
        <v>162</v>
      </c>
      <c r="D3" s="275"/>
      <c r="E3" s="275"/>
      <c r="F3" s="275"/>
      <c r="H3" s="275" t="s">
        <v>163</v>
      </c>
      <c r="I3" s="275"/>
      <c r="J3" s="275"/>
      <c r="K3" s="275"/>
    </row>
    <row r="4" spans="3:11" s="9" customFormat="1" ht="17" thickBot="1" x14ac:dyDescent="0.25"/>
    <row r="5" spans="3:11" s="9" customFormat="1" ht="17" thickBot="1" x14ac:dyDescent="0.25">
      <c r="C5" s="14" t="s">
        <v>142</v>
      </c>
      <c r="D5" s="16" t="s">
        <v>143</v>
      </c>
      <c r="E5" s="33" t="s">
        <v>144</v>
      </c>
      <c r="F5" s="16" t="s">
        <v>145</v>
      </c>
      <c r="H5" s="16" t="s">
        <v>146</v>
      </c>
      <c r="I5" s="16" t="s">
        <v>143</v>
      </c>
      <c r="J5" s="33" t="s">
        <v>144</v>
      </c>
      <c r="K5" s="16" t="s">
        <v>145</v>
      </c>
    </row>
    <row r="6" spans="3:11" s="9" customFormat="1" x14ac:dyDescent="0.2">
      <c r="C6" s="34" t="s">
        <v>1</v>
      </c>
      <c r="D6" s="35">
        <v>3725845.2936854102</v>
      </c>
      <c r="E6" s="32">
        <v>437909265</v>
      </c>
      <c r="F6" s="36">
        <v>13993</v>
      </c>
      <c r="H6" s="40">
        <v>44866</v>
      </c>
      <c r="I6" s="35">
        <v>23.477077996358201</v>
      </c>
      <c r="J6" s="36">
        <v>7431</v>
      </c>
      <c r="K6" s="36">
        <v>11</v>
      </c>
    </row>
    <row r="7" spans="3:11" s="9" customFormat="1" x14ac:dyDescent="0.2">
      <c r="C7" s="34" t="s">
        <v>2</v>
      </c>
      <c r="D7" s="35">
        <v>4899.5947626316902</v>
      </c>
      <c r="E7" s="32">
        <v>5976821</v>
      </c>
      <c r="F7" s="36">
        <v>1886</v>
      </c>
      <c r="H7" s="40">
        <v>44896</v>
      </c>
      <c r="I7" s="35">
        <v>0.64779590070247595</v>
      </c>
      <c r="J7" s="36">
        <v>2359</v>
      </c>
      <c r="K7" s="36">
        <v>41</v>
      </c>
    </row>
    <row r="8" spans="3:11" s="9" customFormat="1" ht="17" thickBot="1" x14ac:dyDescent="0.25">
      <c r="C8" s="34" t="s">
        <v>3</v>
      </c>
      <c r="D8" s="35">
        <v>336566.61450341099</v>
      </c>
      <c r="E8" s="32">
        <v>139962401</v>
      </c>
      <c r="F8" s="36">
        <v>3048</v>
      </c>
      <c r="H8" s="40">
        <v>44927</v>
      </c>
      <c r="I8" s="35">
        <v>6.4800424398854304</v>
      </c>
      <c r="J8" s="36">
        <v>5163</v>
      </c>
      <c r="K8" s="36">
        <v>45</v>
      </c>
    </row>
    <row r="9" spans="3:11" s="9" customFormat="1" ht="17" thickBot="1" x14ac:dyDescent="0.25">
      <c r="C9" s="37" t="s">
        <v>147</v>
      </c>
      <c r="D9" s="38">
        <f>SUM(D6:D8)</f>
        <v>4067311.502951453</v>
      </c>
      <c r="E9" s="39">
        <f>SUM(E6:E8)</f>
        <v>583848487</v>
      </c>
      <c r="F9" s="39">
        <f>SUM(F6:F8)</f>
        <v>18927</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52</v>
      </c>
      <c r="D13" s="16" t="s">
        <v>143</v>
      </c>
      <c r="E13" s="33" t="s">
        <v>144</v>
      </c>
      <c r="F13" s="16" t="s">
        <v>145</v>
      </c>
      <c r="H13" s="40">
        <v>45078</v>
      </c>
      <c r="I13" s="35">
        <v>21.814729833044101</v>
      </c>
      <c r="J13" s="36">
        <v>16356</v>
      </c>
      <c r="K13" s="36">
        <v>113</v>
      </c>
    </row>
    <row r="14" spans="3:11" ht="17" thickBot="1" x14ac:dyDescent="0.25">
      <c r="C14" s="41" t="s">
        <v>151</v>
      </c>
      <c r="D14" s="42">
        <v>4067311.502951453</v>
      </c>
      <c r="E14" s="43">
        <v>583848487</v>
      </c>
      <c r="F14" s="43">
        <v>18018</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ht="17" thickBot="1" x14ac:dyDescent="0.25">
      <c r="H41" s="40">
        <v>45931</v>
      </c>
      <c r="I41" s="53">
        <v>753830.70321953995</v>
      </c>
      <c r="J41" s="54">
        <v>138809682</v>
      </c>
      <c r="K41" s="36">
        <v>1027</v>
      </c>
    </row>
    <row r="42" spans="8:11" ht="17" thickBot="1" x14ac:dyDescent="0.25">
      <c r="H42" s="40">
        <v>45962</v>
      </c>
      <c r="I42" s="53">
        <v>809061.69320483005</v>
      </c>
      <c r="J42" s="54">
        <v>148917322</v>
      </c>
      <c r="K42" s="36">
        <v>975</v>
      </c>
    </row>
    <row r="43" spans="8:11" ht="17" thickBot="1" x14ac:dyDescent="0.25">
      <c r="H43" s="18" t="s">
        <v>148</v>
      </c>
      <c r="I43" s="44">
        <f>SUM(I6:I42)</f>
        <v>4067311.5016606119</v>
      </c>
      <c r="J43" s="45">
        <f>SUM(J6:J42)</f>
        <v>583848487</v>
      </c>
      <c r="K43" s="45">
        <f>SUM(K6:K42)</f>
        <v>23285</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1"/>
  <sheetViews>
    <sheetView topLeftCell="B3" workbookViewId="0">
      <selection activeCell="G6" sqref="G6:J25"/>
    </sheetView>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5" width="12.28515625" style="9" bestFit="1" customWidth="1"/>
    <col min="16" max="16" width="9.42578125" style="9" bestFit="1" customWidth="1"/>
    <col min="17" max="17" width="11.85546875" style="9" bestFit="1" customWidth="1"/>
    <col min="18" max="16384" width="10.7109375" style="9"/>
  </cols>
  <sheetData>
    <row r="3" spans="1:15" ht="54" customHeight="1" x14ac:dyDescent="0.2">
      <c r="B3" s="276" t="s">
        <v>0</v>
      </c>
      <c r="C3" s="276"/>
      <c r="D3" s="276"/>
      <c r="E3" s="276"/>
      <c r="F3" s="92"/>
      <c r="G3" s="277" t="s">
        <v>5</v>
      </c>
      <c r="H3" s="277"/>
      <c r="I3" s="277"/>
      <c r="J3" s="277"/>
      <c r="K3" s="91"/>
      <c r="L3" s="277" t="s">
        <v>157</v>
      </c>
      <c r="M3" s="277"/>
      <c r="N3" s="277"/>
      <c r="O3" s="277"/>
    </row>
    <row r="4" spans="1:15" ht="23" x14ac:dyDescent="0.2">
      <c r="C4" s="134" t="s">
        <v>165</v>
      </c>
      <c r="E4" s="1"/>
      <c r="F4" s="1"/>
      <c r="H4" s="134" t="s">
        <v>165</v>
      </c>
      <c r="J4" s="3"/>
      <c r="K4" s="3"/>
      <c r="L4" s="2"/>
      <c r="M4" s="134" t="s">
        <v>165</v>
      </c>
      <c r="N4" s="2"/>
      <c r="O4" s="2"/>
    </row>
    <row r="5" spans="1:15" ht="17" thickBot="1" x14ac:dyDescent="0.25">
      <c r="L5"/>
      <c r="M5"/>
      <c r="N5"/>
      <c r="O5"/>
    </row>
    <row r="6" spans="1:15" ht="17" thickBot="1" x14ac:dyDescent="0.25">
      <c r="A6" s="6"/>
      <c r="B6" s="6"/>
      <c r="C6" s="100" t="s">
        <v>154</v>
      </c>
      <c r="D6" s="101" t="s">
        <v>155</v>
      </c>
      <c r="E6" s="102" t="s">
        <v>156</v>
      </c>
      <c r="G6" s="16" t="s">
        <v>127</v>
      </c>
      <c r="H6" s="109" t="s">
        <v>154</v>
      </c>
      <c r="I6" s="110" t="s">
        <v>155</v>
      </c>
      <c r="J6" s="111" t="s">
        <v>156</v>
      </c>
      <c r="L6" s="16" t="s">
        <v>53</v>
      </c>
      <c r="M6" s="121" t="s">
        <v>154</v>
      </c>
      <c r="N6" s="122" t="s">
        <v>155</v>
      </c>
      <c r="O6" s="123" t="s">
        <v>156</v>
      </c>
    </row>
    <row r="7" spans="1:15" x14ac:dyDescent="0.2">
      <c r="B7" s="125" t="s">
        <v>1</v>
      </c>
      <c r="C7" s="103">
        <v>781007.00387129304</v>
      </c>
      <c r="D7" s="104">
        <v>133313679</v>
      </c>
      <c r="E7" s="107">
        <v>766</v>
      </c>
      <c r="G7" s="136" t="s">
        <v>6</v>
      </c>
      <c r="H7" s="137">
        <v>75.728754443116401</v>
      </c>
      <c r="I7" s="138">
        <v>21903</v>
      </c>
      <c r="J7" s="139">
        <v>2</v>
      </c>
      <c r="K7" s="6"/>
      <c r="L7" s="113" t="s">
        <v>61</v>
      </c>
      <c r="M7" s="114">
        <v>0.14744283910840736</v>
      </c>
      <c r="N7" s="115">
        <v>238</v>
      </c>
      <c r="O7" s="116">
        <v>8</v>
      </c>
    </row>
    <row r="8" spans="1:15" x14ac:dyDescent="0.2">
      <c r="B8" s="126" t="s">
        <v>2</v>
      </c>
      <c r="C8" s="103">
        <v>1006.12439689878</v>
      </c>
      <c r="D8" s="104">
        <v>602098</v>
      </c>
      <c r="E8" s="107">
        <v>102</v>
      </c>
      <c r="G8" s="140" t="s">
        <v>7</v>
      </c>
      <c r="H8" s="103">
        <v>30.0422560898587</v>
      </c>
      <c r="I8" s="104">
        <v>71478</v>
      </c>
      <c r="J8" s="107">
        <v>5</v>
      </c>
      <c r="L8" s="117" t="s">
        <v>62</v>
      </c>
      <c r="M8" s="112">
        <v>0.24035464320331784</v>
      </c>
      <c r="N8" s="95">
        <v>109</v>
      </c>
      <c r="O8" s="118">
        <v>3</v>
      </c>
    </row>
    <row r="9" spans="1:15" ht="17" thickBot="1" x14ac:dyDescent="0.25">
      <c r="B9" s="127" t="s">
        <v>3</v>
      </c>
      <c r="C9" s="105">
        <v>27048.564936637798</v>
      </c>
      <c r="D9" s="106">
        <v>15001545</v>
      </c>
      <c r="E9" s="108">
        <v>165</v>
      </c>
      <c r="G9" s="140" t="s">
        <v>8</v>
      </c>
      <c r="H9" s="103">
        <v>342.54303526133202</v>
      </c>
      <c r="I9" s="104">
        <v>3705</v>
      </c>
      <c r="J9" s="107">
        <v>2</v>
      </c>
      <c r="L9" s="117" t="s">
        <v>63</v>
      </c>
      <c r="M9" s="112">
        <v>78.510532508604172</v>
      </c>
      <c r="N9" s="95">
        <v>84188</v>
      </c>
      <c r="O9" s="118">
        <v>13</v>
      </c>
    </row>
    <row r="10" spans="1:15" ht="17" thickBot="1" x14ac:dyDescent="0.25">
      <c r="B10" s="99" t="s">
        <v>4</v>
      </c>
      <c r="C10" s="98">
        <f>SUM(C7:C9)</f>
        <v>809061.69320482959</v>
      </c>
      <c r="D10" s="96">
        <f>SUM(D7:D9)</f>
        <v>148917322</v>
      </c>
      <c r="E10" s="97">
        <f>SUM(E7:E9)</f>
        <v>1033</v>
      </c>
      <c r="G10" s="140" t="s">
        <v>9</v>
      </c>
      <c r="H10" s="103">
        <v>1.3785894550383</v>
      </c>
      <c r="I10" s="104">
        <v>52</v>
      </c>
      <c r="J10" s="107">
        <v>2</v>
      </c>
      <c r="L10" s="117" t="s">
        <v>64</v>
      </c>
      <c r="M10" s="112">
        <v>1.7588237840682206</v>
      </c>
      <c r="N10" s="95">
        <v>12042</v>
      </c>
      <c r="O10" s="118">
        <v>9</v>
      </c>
    </row>
    <row r="11" spans="1:15" x14ac:dyDescent="0.2">
      <c r="G11" s="140" t="s">
        <v>10</v>
      </c>
      <c r="H11" s="103">
        <v>3.7426825426518899</v>
      </c>
      <c r="I11" s="104">
        <v>47</v>
      </c>
      <c r="J11" s="107">
        <v>3</v>
      </c>
      <c r="L11" s="117" t="s">
        <v>65</v>
      </c>
      <c r="M11" s="112">
        <v>1.0622584261000099E-2</v>
      </c>
      <c r="N11" s="95">
        <v>10</v>
      </c>
      <c r="O11" s="118">
        <v>1</v>
      </c>
    </row>
    <row r="12" spans="1:15" x14ac:dyDescent="0.2">
      <c r="G12" s="140" t="s">
        <v>11</v>
      </c>
      <c r="H12" s="103">
        <v>9270.14628317393</v>
      </c>
      <c r="I12" s="104">
        <v>1445880</v>
      </c>
      <c r="J12" s="107">
        <v>5</v>
      </c>
      <c r="L12" s="117" t="s">
        <v>111</v>
      </c>
      <c r="M12" s="112">
        <v>2.260532230138777E-3</v>
      </c>
      <c r="N12" s="95">
        <v>13</v>
      </c>
      <c r="O12" s="118">
        <v>3</v>
      </c>
    </row>
    <row r="13" spans="1:15" x14ac:dyDescent="0.2">
      <c r="G13" s="140" t="s">
        <v>12</v>
      </c>
      <c r="H13" s="103">
        <v>230.70896769966899</v>
      </c>
      <c r="I13" s="104">
        <v>3258</v>
      </c>
      <c r="J13" s="107">
        <v>9</v>
      </c>
      <c r="L13" s="117" t="s">
        <v>125</v>
      </c>
      <c r="M13" s="112">
        <v>4.6986970119178219E-2</v>
      </c>
      <c r="N13" s="95">
        <v>7</v>
      </c>
      <c r="O13" s="118">
        <v>2</v>
      </c>
    </row>
    <row r="14" spans="1:15" ht="22" customHeight="1" x14ac:dyDescent="0.2">
      <c r="B14" s="276" t="s">
        <v>21</v>
      </c>
      <c r="C14" s="276"/>
      <c r="D14" s="276"/>
      <c r="E14" s="276"/>
      <c r="G14" s="140" t="s">
        <v>13</v>
      </c>
      <c r="H14" s="103">
        <v>525541.45322660101</v>
      </c>
      <c r="I14" s="104">
        <v>111532</v>
      </c>
      <c r="J14" s="107">
        <v>66</v>
      </c>
      <c r="L14" s="117" t="s">
        <v>168</v>
      </c>
      <c r="M14" s="112">
        <v>4.3430887162685299E-3</v>
      </c>
      <c r="N14" s="95">
        <v>28</v>
      </c>
      <c r="O14" s="118">
        <v>1</v>
      </c>
    </row>
    <row r="15" spans="1:15" ht="25" customHeight="1" x14ac:dyDescent="0.2">
      <c r="B15" s="276"/>
      <c r="C15" s="276"/>
      <c r="D15" s="276"/>
      <c r="E15" s="276"/>
      <c r="G15" s="140" t="s">
        <v>14</v>
      </c>
      <c r="H15" s="103">
        <v>0.23379371035843999</v>
      </c>
      <c r="I15" s="104">
        <v>44</v>
      </c>
      <c r="J15" s="107">
        <v>4</v>
      </c>
      <c r="L15" s="117" t="s">
        <v>66</v>
      </c>
      <c r="M15" s="112">
        <v>0.22757867071777577</v>
      </c>
      <c r="N15" s="95">
        <v>133</v>
      </c>
      <c r="O15" s="118">
        <v>4</v>
      </c>
    </row>
    <row r="16" spans="1:15" ht="23" x14ac:dyDescent="0.2">
      <c r="C16" s="134" t="s">
        <v>165</v>
      </c>
      <c r="F16" s="93"/>
      <c r="G16" s="140" t="s">
        <v>15</v>
      </c>
      <c r="H16" s="103">
        <v>1.0853002332150901</v>
      </c>
      <c r="I16" s="104">
        <v>223</v>
      </c>
      <c r="J16" s="107">
        <v>12</v>
      </c>
      <c r="L16" s="117" t="s">
        <v>67</v>
      </c>
      <c r="M16" s="112">
        <v>1476.5139625808201</v>
      </c>
      <c r="N16" s="95">
        <v>222847</v>
      </c>
      <c r="O16" s="118">
        <v>34</v>
      </c>
    </row>
    <row r="17" spans="2:15" ht="24" thickBot="1" x14ac:dyDescent="0.25">
      <c r="F17" s="1"/>
      <c r="G17" s="140" t="s">
        <v>16</v>
      </c>
      <c r="H17" s="103">
        <v>1024.6689104782399</v>
      </c>
      <c r="I17" s="104">
        <v>286933</v>
      </c>
      <c r="J17" s="107">
        <v>35</v>
      </c>
      <c r="L17" s="117" t="s">
        <v>112</v>
      </c>
      <c r="M17" s="112">
        <v>9.3963956460356695E-3</v>
      </c>
      <c r="N17" s="95">
        <v>9</v>
      </c>
      <c r="O17" s="118">
        <v>1</v>
      </c>
    </row>
    <row r="18" spans="2:15" ht="17" thickBot="1" x14ac:dyDescent="0.25">
      <c r="B18" s="16" t="s">
        <v>51</v>
      </c>
      <c r="C18" s="124" t="s">
        <v>154</v>
      </c>
      <c r="D18" s="122" t="s">
        <v>155</v>
      </c>
      <c r="E18" s="123" t="s">
        <v>156</v>
      </c>
      <c r="G18" s="140" t="s">
        <v>17</v>
      </c>
      <c r="H18" s="103">
        <v>6090.5697383303104</v>
      </c>
      <c r="I18" s="104">
        <v>82662193</v>
      </c>
      <c r="J18" s="107">
        <v>72</v>
      </c>
      <c r="L18" s="117" t="s">
        <v>169</v>
      </c>
      <c r="M18" s="112">
        <v>0.16236806754022787</v>
      </c>
      <c r="N18" s="95">
        <v>78</v>
      </c>
      <c r="O18" s="118">
        <v>3</v>
      </c>
    </row>
    <row r="19" spans="2:15" x14ac:dyDescent="0.2">
      <c r="B19" s="141" t="s">
        <v>22</v>
      </c>
      <c r="C19" s="142">
        <v>41599.134616331175</v>
      </c>
      <c r="D19" s="138">
        <v>1017671</v>
      </c>
      <c r="E19" s="139">
        <v>702</v>
      </c>
      <c r="G19" s="140" t="s">
        <v>18</v>
      </c>
      <c r="H19" s="103">
        <v>7394.8716175919299</v>
      </c>
      <c r="I19" s="104">
        <v>2731356</v>
      </c>
      <c r="J19" s="107">
        <v>684</v>
      </c>
      <c r="L19" s="117" t="s">
        <v>68</v>
      </c>
      <c r="M19" s="112">
        <v>17.786075667478123</v>
      </c>
      <c r="N19" s="95">
        <v>3006</v>
      </c>
      <c r="O19" s="118">
        <v>27</v>
      </c>
    </row>
    <row r="20" spans="2:15" x14ac:dyDescent="0.2">
      <c r="B20" s="143" t="s">
        <v>23</v>
      </c>
      <c r="C20" s="144">
        <v>200638.66989968903</v>
      </c>
      <c r="D20" s="104">
        <v>136079851</v>
      </c>
      <c r="E20" s="107">
        <v>21</v>
      </c>
      <c r="G20" s="140" t="s">
        <v>128</v>
      </c>
      <c r="H20" s="103">
        <v>258937.82428251</v>
      </c>
      <c r="I20" s="104">
        <v>61578109</v>
      </c>
      <c r="J20" s="107">
        <v>76</v>
      </c>
      <c r="L20" s="117" t="s">
        <v>69</v>
      </c>
      <c r="M20" s="112">
        <v>0.9790467834100125</v>
      </c>
      <c r="N20" s="95">
        <v>721</v>
      </c>
      <c r="O20" s="118">
        <v>14</v>
      </c>
    </row>
    <row r="21" spans="2:15" x14ac:dyDescent="0.2">
      <c r="B21" s="143" t="s">
        <v>24</v>
      </c>
      <c r="C21" s="144">
        <v>534842.23916949099</v>
      </c>
      <c r="D21" s="104">
        <v>1943116</v>
      </c>
      <c r="E21" s="107">
        <v>87</v>
      </c>
      <c r="G21" s="140" t="s">
        <v>19</v>
      </c>
      <c r="H21" s="103">
        <v>0.43088837061077301</v>
      </c>
      <c r="I21" s="104">
        <v>55</v>
      </c>
      <c r="J21" s="107">
        <v>5</v>
      </c>
      <c r="L21" s="117" t="s">
        <v>70</v>
      </c>
      <c r="M21" s="112">
        <v>1762.0705375112575</v>
      </c>
      <c r="N21" s="95">
        <v>129519</v>
      </c>
      <c r="O21" s="118">
        <v>77</v>
      </c>
    </row>
    <row r="22" spans="2:15" x14ac:dyDescent="0.2">
      <c r="B22" s="143" t="s">
        <v>25</v>
      </c>
      <c r="C22" s="144">
        <v>31157.876092214043</v>
      </c>
      <c r="D22" s="104">
        <v>9603858</v>
      </c>
      <c r="E22" s="107">
        <v>42</v>
      </c>
      <c r="G22" s="140" t="s">
        <v>166</v>
      </c>
      <c r="H22" s="103">
        <v>4.2252486571669502E-2</v>
      </c>
      <c r="I22" s="104">
        <v>10</v>
      </c>
      <c r="J22" s="107">
        <v>2</v>
      </c>
      <c r="L22" s="117" t="s">
        <v>71</v>
      </c>
      <c r="M22" s="112">
        <v>0.56247503217309658</v>
      </c>
      <c r="N22" s="95">
        <v>783</v>
      </c>
      <c r="O22" s="118">
        <v>28</v>
      </c>
    </row>
    <row r="23" spans="2:15" x14ac:dyDescent="0.2">
      <c r="B23" s="143" t="s">
        <v>26</v>
      </c>
      <c r="C23" s="144">
        <v>562.27575283311262</v>
      </c>
      <c r="D23" s="104">
        <v>171093</v>
      </c>
      <c r="E23" s="107">
        <v>7</v>
      </c>
      <c r="G23" s="206" t="s">
        <v>20</v>
      </c>
      <c r="H23" s="207">
        <v>46.911333791911602</v>
      </c>
      <c r="I23" s="208">
        <v>244</v>
      </c>
      <c r="J23" s="209">
        <v>5</v>
      </c>
      <c r="L23" s="117" t="s">
        <v>170</v>
      </c>
      <c r="M23" s="112">
        <v>0.390625</v>
      </c>
      <c r="N23" s="95">
        <v>1</v>
      </c>
      <c r="O23" s="118">
        <v>1</v>
      </c>
    </row>
    <row r="24" spans="2:15" ht="17" thickBot="1" x14ac:dyDescent="0.25">
      <c r="B24" s="146" t="s">
        <v>27</v>
      </c>
      <c r="C24" s="147">
        <v>261.49767427053274</v>
      </c>
      <c r="D24" s="106">
        <v>101733</v>
      </c>
      <c r="E24" s="108">
        <v>203</v>
      </c>
      <c r="G24" s="145" t="s">
        <v>167</v>
      </c>
      <c r="H24" s="105">
        <v>69.311292059719506</v>
      </c>
      <c r="I24" s="106">
        <v>300</v>
      </c>
      <c r="J24" s="108">
        <v>2</v>
      </c>
      <c r="L24" s="117" t="s">
        <v>171</v>
      </c>
      <c r="M24" s="112">
        <v>2.9981136322021398E-4</v>
      </c>
      <c r="N24" s="95">
        <v>12</v>
      </c>
      <c r="O24" s="118">
        <v>1</v>
      </c>
    </row>
    <row r="25" spans="2:15" ht="17" thickBot="1" x14ac:dyDescent="0.25">
      <c r="B25" s="99" t="s">
        <v>4</v>
      </c>
      <c r="C25" s="98">
        <f>SUM(C19:C24)</f>
        <v>809061.69320482889</v>
      </c>
      <c r="D25" s="96">
        <f>SUM(D19:D24)</f>
        <v>148917322</v>
      </c>
      <c r="E25" s="97">
        <f>SUM(E19:E24)</f>
        <v>1062</v>
      </c>
      <c r="G25" s="148" t="s">
        <v>4</v>
      </c>
      <c r="H25" s="149">
        <f>SUM(H7:H24)</f>
        <v>809061.69320482947</v>
      </c>
      <c r="I25" s="150">
        <f>SUM(I7:I24)</f>
        <v>148917322</v>
      </c>
      <c r="J25" s="151">
        <f>SUM(J7:J24)</f>
        <v>991</v>
      </c>
      <c r="L25" s="117" t="s">
        <v>110</v>
      </c>
      <c r="M25" s="112">
        <v>6.8898582831025098E-3</v>
      </c>
      <c r="N25" s="95">
        <v>8</v>
      </c>
      <c r="O25" s="118">
        <v>1</v>
      </c>
    </row>
    <row r="26" spans="2:15" x14ac:dyDescent="0.2">
      <c r="L26" s="117" t="s">
        <v>72</v>
      </c>
      <c r="M26" s="112">
        <v>1.4737579133361574</v>
      </c>
      <c r="N26" s="95">
        <v>713</v>
      </c>
      <c r="O26" s="118">
        <v>10</v>
      </c>
    </row>
    <row r="27" spans="2:15" x14ac:dyDescent="0.2">
      <c r="L27" s="117" t="s">
        <v>73</v>
      </c>
      <c r="M27" s="112">
        <v>0.13425133191049057</v>
      </c>
      <c r="N27" s="95">
        <v>159</v>
      </c>
      <c r="O27" s="118">
        <v>10</v>
      </c>
    </row>
    <row r="28" spans="2:15" x14ac:dyDescent="0.2">
      <c r="L28" s="117" t="s">
        <v>74</v>
      </c>
      <c r="M28" s="112">
        <v>3.1991950236260856E-2</v>
      </c>
      <c r="N28" s="95">
        <v>188</v>
      </c>
      <c r="O28" s="118">
        <v>4</v>
      </c>
    </row>
    <row r="29" spans="2:15" x14ac:dyDescent="0.2">
      <c r="L29" s="117" t="s">
        <v>141</v>
      </c>
      <c r="M29" s="112">
        <v>0.19045734032988493</v>
      </c>
      <c r="N29" s="95">
        <v>181</v>
      </c>
      <c r="O29" s="118">
        <v>8</v>
      </c>
    </row>
    <row r="30" spans="2:15" x14ac:dyDescent="0.2">
      <c r="L30" s="117" t="s">
        <v>75</v>
      </c>
      <c r="M30" s="112">
        <v>396.2113482793784</v>
      </c>
      <c r="N30" s="95">
        <v>327456</v>
      </c>
      <c r="O30" s="118">
        <v>16</v>
      </c>
    </row>
    <row r="31" spans="2:15" x14ac:dyDescent="0.2">
      <c r="L31" s="117" t="s">
        <v>76</v>
      </c>
      <c r="M31" s="112">
        <v>534.59463997278294</v>
      </c>
      <c r="N31" s="95">
        <v>34203</v>
      </c>
      <c r="O31" s="118">
        <v>20</v>
      </c>
    </row>
    <row r="32" spans="2:15" x14ac:dyDescent="0.2">
      <c r="L32" s="117" t="s">
        <v>77</v>
      </c>
      <c r="M32" s="112">
        <v>3.4292242862284108</v>
      </c>
      <c r="N32" s="95">
        <v>141</v>
      </c>
      <c r="O32" s="118">
        <v>6</v>
      </c>
    </row>
    <row r="33" spans="12:15" x14ac:dyDescent="0.2">
      <c r="L33" s="117" t="s">
        <v>78</v>
      </c>
      <c r="M33" s="112">
        <v>0.69930306635796979</v>
      </c>
      <c r="N33" s="95">
        <v>204</v>
      </c>
      <c r="O33" s="118">
        <v>2</v>
      </c>
    </row>
    <row r="34" spans="12:15" x14ac:dyDescent="0.2">
      <c r="L34" s="117" t="s">
        <v>113</v>
      </c>
      <c r="M34" s="112">
        <v>1.18112191557884E-4</v>
      </c>
      <c r="N34" s="95">
        <v>3</v>
      </c>
      <c r="O34" s="118">
        <v>1</v>
      </c>
    </row>
    <row r="35" spans="12:15" x14ac:dyDescent="0.2">
      <c r="L35" s="117" t="s">
        <v>79</v>
      </c>
      <c r="M35" s="112">
        <v>4.1456539183854996E-3</v>
      </c>
      <c r="N35" s="95">
        <v>5</v>
      </c>
      <c r="O35" s="118">
        <v>1</v>
      </c>
    </row>
    <row r="36" spans="12:15" x14ac:dyDescent="0.2">
      <c r="L36" s="117" t="s">
        <v>54</v>
      </c>
      <c r="M36" s="112">
        <v>0.38627346977591426</v>
      </c>
      <c r="N36" s="95">
        <v>2542</v>
      </c>
      <c r="O36" s="118">
        <v>20</v>
      </c>
    </row>
    <row r="37" spans="12:15" x14ac:dyDescent="0.2">
      <c r="L37" s="117" t="s">
        <v>172</v>
      </c>
      <c r="M37" s="112">
        <v>7.0055015385150896E-5</v>
      </c>
      <c r="N37" s="95">
        <v>1</v>
      </c>
      <c r="O37" s="118">
        <v>1</v>
      </c>
    </row>
    <row r="38" spans="12:15" x14ac:dyDescent="0.2">
      <c r="L38" s="117" t="s">
        <v>80</v>
      </c>
      <c r="M38" s="112">
        <v>8747.7291388595386</v>
      </c>
      <c r="N38" s="95">
        <v>49361</v>
      </c>
      <c r="O38" s="118">
        <v>38</v>
      </c>
    </row>
    <row r="39" spans="12:15" x14ac:dyDescent="0.2">
      <c r="L39" s="117" t="s">
        <v>81</v>
      </c>
      <c r="M39" s="112">
        <v>0.117750091478228</v>
      </c>
      <c r="N39" s="95">
        <v>53</v>
      </c>
      <c r="O39" s="118">
        <v>10</v>
      </c>
    </row>
    <row r="40" spans="12:15" x14ac:dyDescent="0.2">
      <c r="L40" s="117" t="s">
        <v>82</v>
      </c>
      <c r="M40" s="112">
        <v>434.24924244172814</v>
      </c>
      <c r="N40" s="95">
        <v>1694</v>
      </c>
      <c r="O40" s="118">
        <v>9</v>
      </c>
    </row>
    <row r="41" spans="12:15" x14ac:dyDescent="0.2">
      <c r="L41" s="117" t="s">
        <v>83</v>
      </c>
      <c r="M41" s="112">
        <v>0.30800125561654501</v>
      </c>
      <c r="N41" s="95">
        <v>101</v>
      </c>
      <c r="O41" s="118">
        <v>1</v>
      </c>
    </row>
    <row r="42" spans="12:15" x14ac:dyDescent="0.2">
      <c r="L42" s="117" t="s">
        <v>84</v>
      </c>
      <c r="M42" s="112">
        <v>0.80482197087258101</v>
      </c>
      <c r="N42" s="95">
        <v>229</v>
      </c>
      <c r="O42" s="118">
        <v>5</v>
      </c>
    </row>
    <row r="43" spans="12:15" x14ac:dyDescent="0.2">
      <c r="L43" s="117" t="s">
        <v>85</v>
      </c>
      <c r="M43" s="112">
        <v>100.4872833620756</v>
      </c>
      <c r="N43" s="95">
        <v>28586</v>
      </c>
      <c r="O43" s="118">
        <v>5</v>
      </c>
    </row>
    <row r="44" spans="12:15" x14ac:dyDescent="0.2">
      <c r="L44" s="117" t="s">
        <v>86</v>
      </c>
      <c r="M44" s="112">
        <v>13.389006991870618</v>
      </c>
      <c r="N44" s="95">
        <v>162</v>
      </c>
      <c r="O44" s="118">
        <v>7</v>
      </c>
    </row>
    <row r="45" spans="12:15" x14ac:dyDescent="0.2">
      <c r="L45" s="117" t="s">
        <v>87</v>
      </c>
      <c r="M45" s="112">
        <v>11.742500304244373</v>
      </c>
      <c r="N45" s="95">
        <v>4190</v>
      </c>
      <c r="O45" s="118">
        <v>11</v>
      </c>
    </row>
    <row r="46" spans="12:15" x14ac:dyDescent="0.2">
      <c r="L46" s="117" t="s">
        <v>114</v>
      </c>
      <c r="M46" s="112">
        <v>2.0430311560630701E-2</v>
      </c>
      <c r="N46" s="95">
        <v>68</v>
      </c>
      <c r="O46" s="118">
        <v>3</v>
      </c>
    </row>
    <row r="47" spans="12:15" x14ac:dyDescent="0.2">
      <c r="L47" s="117" t="s">
        <v>115</v>
      </c>
      <c r="M47" s="112">
        <v>9.6000730991363498E-5</v>
      </c>
      <c r="N47" s="95">
        <v>1</v>
      </c>
      <c r="O47" s="118">
        <v>1</v>
      </c>
    </row>
    <row r="48" spans="12:15" x14ac:dyDescent="0.2">
      <c r="L48" s="117" t="s">
        <v>173</v>
      </c>
      <c r="M48" s="112">
        <v>0.396455228328704</v>
      </c>
      <c r="N48" s="95">
        <v>81</v>
      </c>
      <c r="O48" s="118">
        <v>2</v>
      </c>
    </row>
    <row r="49" spans="12:15" x14ac:dyDescent="0.2">
      <c r="L49" s="117" t="s">
        <v>174</v>
      </c>
      <c r="M49" s="112">
        <v>246.00306362938051</v>
      </c>
      <c r="N49" s="95">
        <v>22940</v>
      </c>
      <c r="O49" s="118">
        <v>9</v>
      </c>
    </row>
    <row r="50" spans="12:15" x14ac:dyDescent="0.2">
      <c r="L50" s="117" t="s">
        <v>126</v>
      </c>
      <c r="M50" s="112">
        <v>0.114413041621446</v>
      </c>
      <c r="N50" s="95">
        <v>54</v>
      </c>
      <c r="O50" s="118">
        <v>1</v>
      </c>
    </row>
    <row r="51" spans="12:15" x14ac:dyDescent="0.2">
      <c r="L51" s="117" t="s">
        <v>116</v>
      </c>
      <c r="M51" s="112">
        <v>1.0663678869605E-2</v>
      </c>
      <c r="N51" s="95">
        <v>1</v>
      </c>
      <c r="O51" s="118">
        <v>1</v>
      </c>
    </row>
    <row r="52" spans="12:15" x14ac:dyDescent="0.2">
      <c r="L52" s="117" t="s">
        <v>175</v>
      </c>
      <c r="M52" s="112">
        <v>1.2912586331367401E-2</v>
      </c>
      <c r="N52" s="95">
        <v>83</v>
      </c>
      <c r="O52" s="118">
        <v>1</v>
      </c>
    </row>
    <row r="53" spans="12:15" x14ac:dyDescent="0.2">
      <c r="L53" s="117" t="s">
        <v>88</v>
      </c>
      <c r="M53" s="112">
        <v>1.7148273997008714E-2</v>
      </c>
      <c r="N53" s="95">
        <v>33</v>
      </c>
      <c r="O53" s="118">
        <v>2</v>
      </c>
    </row>
    <row r="54" spans="12:15" x14ac:dyDescent="0.2">
      <c r="L54" s="117" t="s">
        <v>89</v>
      </c>
      <c r="M54" s="112">
        <v>303.31435430981122</v>
      </c>
      <c r="N54" s="95">
        <v>3746</v>
      </c>
      <c r="O54" s="118">
        <v>25</v>
      </c>
    </row>
    <row r="55" spans="12:15" x14ac:dyDescent="0.2">
      <c r="L55" s="117" t="s">
        <v>117</v>
      </c>
      <c r="M55" s="112">
        <v>6.0573220252990697E-6</v>
      </c>
      <c r="N55" s="95">
        <v>1</v>
      </c>
      <c r="O55" s="118">
        <v>1</v>
      </c>
    </row>
    <row r="56" spans="12:15" x14ac:dyDescent="0.2">
      <c r="L56" s="117" t="s">
        <v>90</v>
      </c>
      <c r="M56" s="112">
        <v>0.1431437786668531</v>
      </c>
      <c r="N56" s="95">
        <v>70</v>
      </c>
      <c r="O56" s="118">
        <v>4</v>
      </c>
    </row>
    <row r="57" spans="12:15" x14ac:dyDescent="0.2">
      <c r="L57" s="117" t="s">
        <v>176</v>
      </c>
      <c r="M57" s="112">
        <v>2.6864930987357998E-5</v>
      </c>
      <c r="N57" s="95">
        <v>5</v>
      </c>
      <c r="O57" s="118">
        <v>1</v>
      </c>
    </row>
    <row r="58" spans="12:15" x14ac:dyDescent="0.2">
      <c r="L58" s="117" t="s">
        <v>177</v>
      </c>
      <c r="M58" s="112">
        <v>4.7623611986637004E-2</v>
      </c>
      <c r="N58" s="95">
        <v>34</v>
      </c>
      <c r="O58" s="118">
        <v>3</v>
      </c>
    </row>
    <row r="59" spans="12:15" x14ac:dyDescent="0.2">
      <c r="L59" s="117" t="s">
        <v>178</v>
      </c>
      <c r="M59" s="112">
        <v>0.46982157509773803</v>
      </c>
      <c r="N59" s="95">
        <v>555</v>
      </c>
      <c r="O59" s="118">
        <v>4</v>
      </c>
    </row>
    <row r="60" spans="12:15" x14ac:dyDescent="0.2">
      <c r="L60" s="117" t="s">
        <v>91</v>
      </c>
      <c r="M60" s="112">
        <v>0.95156139042228294</v>
      </c>
      <c r="N60" s="95">
        <v>1001</v>
      </c>
      <c r="O60" s="118">
        <v>3</v>
      </c>
    </row>
    <row r="61" spans="12:15" x14ac:dyDescent="0.2">
      <c r="L61" s="117" t="s">
        <v>92</v>
      </c>
      <c r="M61" s="112">
        <v>5.82262873649597E-6</v>
      </c>
      <c r="N61" s="95">
        <v>1</v>
      </c>
      <c r="O61" s="118">
        <v>1</v>
      </c>
    </row>
    <row r="62" spans="12:15" x14ac:dyDescent="0.2">
      <c r="L62" s="117" t="s">
        <v>179</v>
      </c>
      <c r="M62" s="112">
        <v>9.4165448099374702E-3</v>
      </c>
      <c r="N62" s="95">
        <v>20</v>
      </c>
      <c r="O62" s="118">
        <v>1</v>
      </c>
    </row>
    <row r="63" spans="12:15" x14ac:dyDescent="0.2">
      <c r="L63" s="117" t="s">
        <v>118</v>
      </c>
      <c r="M63" s="112">
        <v>1.3643763028085201E-2</v>
      </c>
      <c r="N63" s="95">
        <v>4</v>
      </c>
      <c r="O63" s="118">
        <v>1</v>
      </c>
    </row>
    <row r="64" spans="12:15" x14ac:dyDescent="0.2">
      <c r="L64" s="117" t="s">
        <v>93</v>
      </c>
      <c r="M64" s="112">
        <v>2.78821354731917E-2</v>
      </c>
      <c r="N64" s="95">
        <v>40</v>
      </c>
      <c r="O64" s="118">
        <v>2</v>
      </c>
    </row>
    <row r="65" spans="12:15" x14ac:dyDescent="0.2">
      <c r="L65" s="117" t="s">
        <v>94</v>
      </c>
      <c r="M65" s="112">
        <v>4.8719896934926454E-2</v>
      </c>
      <c r="N65" s="95">
        <v>222</v>
      </c>
      <c r="O65" s="118">
        <v>6</v>
      </c>
    </row>
    <row r="66" spans="12:15" x14ac:dyDescent="0.2">
      <c r="L66" s="117" t="s">
        <v>180</v>
      </c>
      <c r="M66" s="112">
        <v>5.011197365820394E-2</v>
      </c>
      <c r="N66" s="95">
        <v>39</v>
      </c>
      <c r="O66" s="118">
        <v>3</v>
      </c>
    </row>
    <row r="67" spans="12:15" x14ac:dyDescent="0.2">
      <c r="L67" s="117" t="s">
        <v>95</v>
      </c>
      <c r="M67" s="112">
        <v>3.6773786032572264</v>
      </c>
      <c r="N67" s="95">
        <v>1120</v>
      </c>
      <c r="O67" s="118">
        <v>31</v>
      </c>
    </row>
    <row r="68" spans="12:15" x14ac:dyDescent="0.2">
      <c r="L68" s="117" t="s">
        <v>96</v>
      </c>
      <c r="M68" s="112">
        <v>3.4771993756294195E-2</v>
      </c>
      <c r="N68" s="95">
        <v>37</v>
      </c>
      <c r="O68" s="118">
        <v>7</v>
      </c>
    </row>
    <row r="69" spans="12:15" x14ac:dyDescent="0.2">
      <c r="L69" s="117" t="s">
        <v>56</v>
      </c>
      <c r="M69" s="112">
        <v>1.2109995335340489</v>
      </c>
      <c r="N69" s="95">
        <v>9157</v>
      </c>
      <c r="O69" s="118">
        <v>4</v>
      </c>
    </row>
    <row r="70" spans="12:15" x14ac:dyDescent="0.2">
      <c r="L70" s="117" t="s">
        <v>119</v>
      </c>
      <c r="M70" s="112">
        <v>4.44143982604146E-2</v>
      </c>
      <c r="N70" s="95">
        <v>53</v>
      </c>
      <c r="O70" s="118">
        <v>2</v>
      </c>
    </row>
    <row r="71" spans="12:15" x14ac:dyDescent="0.2">
      <c r="L71" s="117" t="s">
        <v>181</v>
      </c>
      <c r="M71" s="112">
        <v>0.121503183618187</v>
      </c>
      <c r="N71" s="95">
        <v>78</v>
      </c>
      <c r="O71" s="118">
        <v>1</v>
      </c>
    </row>
    <row r="72" spans="12:15" x14ac:dyDescent="0.2">
      <c r="L72" s="117" t="s">
        <v>120</v>
      </c>
      <c r="M72" s="112">
        <v>0.18605650216340919</v>
      </c>
      <c r="N72" s="95">
        <v>119</v>
      </c>
      <c r="O72" s="118">
        <v>4</v>
      </c>
    </row>
    <row r="73" spans="12:15" x14ac:dyDescent="0.2">
      <c r="L73" s="117" t="s">
        <v>97</v>
      </c>
      <c r="M73" s="112">
        <v>2.6280524535104606</v>
      </c>
      <c r="N73" s="95">
        <v>231</v>
      </c>
      <c r="O73" s="118">
        <v>13</v>
      </c>
    </row>
    <row r="74" spans="12:15" x14ac:dyDescent="0.2">
      <c r="L74" s="117" t="s">
        <v>182</v>
      </c>
      <c r="M74" s="112">
        <v>1.5638424083590501E-2</v>
      </c>
      <c r="N74" s="95">
        <v>32</v>
      </c>
      <c r="O74" s="118">
        <v>3</v>
      </c>
    </row>
    <row r="75" spans="12:15" x14ac:dyDescent="0.2">
      <c r="L75" s="117" t="s">
        <v>98</v>
      </c>
      <c r="M75" s="112">
        <v>4.21170570142566</v>
      </c>
      <c r="N75" s="95">
        <v>48</v>
      </c>
      <c r="O75" s="118">
        <v>4</v>
      </c>
    </row>
    <row r="76" spans="12:15" x14ac:dyDescent="0.2">
      <c r="L76" s="117" t="s">
        <v>183</v>
      </c>
      <c r="M76" s="112">
        <v>4.1752355173230102E-3</v>
      </c>
      <c r="N76" s="95">
        <v>9</v>
      </c>
      <c r="O76" s="118">
        <v>1</v>
      </c>
    </row>
    <row r="77" spans="12:15" x14ac:dyDescent="0.2">
      <c r="L77" s="117" t="s">
        <v>99</v>
      </c>
      <c r="M77" s="112">
        <v>0.15045774821191935</v>
      </c>
      <c r="N77" s="95">
        <v>76</v>
      </c>
      <c r="O77" s="118">
        <v>8</v>
      </c>
    </row>
    <row r="78" spans="12:15" x14ac:dyDescent="0.2">
      <c r="L78" s="117" t="s">
        <v>100</v>
      </c>
      <c r="M78" s="112">
        <v>39.649016667157341</v>
      </c>
      <c r="N78" s="95">
        <v>6289</v>
      </c>
      <c r="O78" s="118">
        <v>4</v>
      </c>
    </row>
    <row r="79" spans="12:15" x14ac:dyDescent="0.2">
      <c r="L79" s="117" t="s">
        <v>184</v>
      </c>
      <c r="M79" s="112">
        <v>0.74471186753362406</v>
      </c>
      <c r="N79" s="95">
        <v>643</v>
      </c>
      <c r="O79" s="118">
        <v>12</v>
      </c>
    </row>
    <row r="80" spans="12:15" x14ac:dyDescent="0.2">
      <c r="L80" s="117" t="s">
        <v>57</v>
      </c>
      <c r="M80" s="112">
        <v>373.31260029785318</v>
      </c>
      <c r="N80" s="95">
        <v>1776</v>
      </c>
      <c r="O80" s="118">
        <v>14</v>
      </c>
    </row>
    <row r="81" spans="12:15" x14ac:dyDescent="0.2">
      <c r="L81" s="117" t="s">
        <v>121</v>
      </c>
      <c r="M81" s="112">
        <v>1.18123106658458E-2</v>
      </c>
      <c r="N81" s="95">
        <v>21</v>
      </c>
      <c r="O81" s="118">
        <v>1</v>
      </c>
    </row>
    <row r="82" spans="12:15" x14ac:dyDescent="0.2">
      <c r="L82" s="117" t="s">
        <v>101</v>
      </c>
      <c r="M82" s="112">
        <v>26648.751275896084</v>
      </c>
      <c r="N82" s="95">
        <v>62381</v>
      </c>
      <c r="O82" s="118">
        <v>9</v>
      </c>
    </row>
    <row r="83" spans="12:15" x14ac:dyDescent="0.2">
      <c r="L83" s="117" t="s">
        <v>122</v>
      </c>
      <c r="M83" s="112">
        <v>2.3913933681324058</v>
      </c>
      <c r="N83" s="95">
        <v>243</v>
      </c>
      <c r="O83" s="118">
        <v>8</v>
      </c>
    </row>
    <row r="84" spans="12:15" x14ac:dyDescent="0.2">
      <c r="L84" s="117" t="s">
        <v>185</v>
      </c>
      <c r="M84" s="112">
        <v>0.35904581192880836</v>
      </c>
      <c r="N84" s="95">
        <v>190</v>
      </c>
      <c r="O84" s="118">
        <v>5</v>
      </c>
    </row>
    <row r="85" spans="12:15" x14ac:dyDescent="0.2">
      <c r="L85" s="117" t="s">
        <v>102</v>
      </c>
      <c r="M85" s="112">
        <v>0.1250235987827181</v>
      </c>
      <c r="N85" s="95">
        <v>63</v>
      </c>
      <c r="O85" s="118">
        <v>4</v>
      </c>
    </row>
    <row r="86" spans="12:15" x14ac:dyDescent="0.2">
      <c r="L86" s="117" t="s">
        <v>123</v>
      </c>
      <c r="M86" s="112">
        <v>4.7861728817224503E-3</v>
      </c>
      <c r="N86" s="95">
        <v>1</v>
      </c>
      <c r="O86" s="118">
        <v>1</v>
      </c>
    </row>
    <row r="87" spans="12:15" x14ac:dyDescent="0.2">
      <c r="L87" s="117" t="s">
        <v>124</v>
      </c>
      <c r="M87" s="112">
        <v>0.23976370692252957</v>
      </c>
      <c r="N87" s="95">
        <v>213</v>
      </c>
      <c r="O87" s="118">
        <v>8</v>
      </c>
    </row>
    <row r="88" spans="12:15" x14ac:dyDescent="0.2">
      <c r="L88" s="117" t="s">
        <v>186</v>
      </c>
      <c r="M88" s="112">
        <v>0.60738501045852811</v>
      </c>
      <c r="N88" s="95">
        <v>846</v>
      </c>
      <c r="O88" s="118">
        <v>14</v>
      </c>
    </row>
    <row r="89" spans="12:15" x14ac:dyDescent="0.2">
      <c r="L89" s="117" t="s">
        <v>103</v>
      </c>
      <c r="M89" s="112">
        <v>2.9861536808311939E-2</v>
      </c>
      <c r="N89" s="95">
        <v>7</v>
      </c>
      <c r="O89" s="118">
        <v>2</v>
      </c>
    </row>
    <row r="90" spans="12:15" x14ac:dyDescent="0.2">
      <c r="L90" s="117" t="s">
        <v>104</v>
      </c>
      <c r="M90" s="112">
        <v>3.6156751215457889E-2</v>
      </c>
      <c r="N90" s="95">
        <v>18</v>
      </c>
      <c r="O90" s="118">
        <v>3</v>
      </c>
    </row>
    <row r="91" spans="12:15" x14ac:dyDescent="0.2">
      <c r="L91" s="117" t="s">
        <v>105</v>
      </c>
      <c r="M91" s="112">
        <v>4.7774591483175692E-2</v>
      </c>
      <c r="N91" s="95">
        <v>74</v>
      </c>
      <c r="O91" s="118">
        <v>8</v>
      </c>
    </row>
    <row r="92" spans="12:15" x14ac:dyDescent="0.2">
      <c r="L92" s="117" t="s">
        <v>106</v>
      </c>
      <c r="M92" s="112">
        <v>7.5549776181578556</v>
      </c>
      <c r="N92" s="95">
        <v>59</v>
      </c>
      <c r="O92" s="118">
        <v>6</v>
      </c>
    </row>
    <row r="93" spans="12:15" x14ac:dyDescent="0.2">
      <c r="L93" s="117" t="s">
        <v>58</v>
      </c>
      <c r="M93" s="112">
        <v>0.51203985046595257</v>
      </c>
      <c r="N93" s="95">
        <v>399</v>
      </c>
      <c r="O93" s="118">
        <v>14</v>
      </c>
    </row>
    <row r="94" spans="12:15" x14ac:dyDescent="0.2">
      <c r="L94" s="117" t="s">
        <v>59</v>
      </c>
      <c r="M94" s="112">
        <v>767462.55858849769</v>
      </c>
      <c r="N94" s="95">
        <v>147899651</v>
      </c>
      <c r="O94" s="118">
        <v>360</v>
      </c>
    </row>
    <row r="95" spans="12:15" x14ac:dyDescent="0.2">
      <c r="L95" s="117" t="s">
        <v>187</v>
      </c>
      <c r="M95" s="112">
        <v>374.41110766213365</v>
      </c>
      <c r="N95" s="95">
        <v>56</v>
      </c>
      <c r="O95" s="118">
        <v>3</v>
      </c>
    </row>
    <row r="96" spans="12:15" x14ac:dyDescent="0.2">
      <c r="L96" s="117" t="s">
        <v>188</v>
      </c>
      <c r="M96" s="112">
        <v>0.130764727480709</v>
      </c>
      <c r="N96" s="95">
        <v>42</v>
      </c>
      <c r="O96" s="118">
        <v>1</v>
      </c>
    </row>
    <row r="97" spans="12:15" x14ac:dyDescent="0.2">
      <c r="L97" s="117" t="s">
        <v>107</v>
      </c>
      <c r="M97" s="112">
        <v>0.24820379260927419</v>
      </c>
      <c r="N97" s="95">
        <v>92</v>
      </c>
      <c r="O97" s="118">
        <v>4</v>
      </c>
    </row>
    <row r="98" spans="12:15" x14ac:dyDescent="0.2">
      <c r="L98" s="117" t="s">
        <v>108</v>
      </c>
      <c r="M98" s="112">
        <v>0.59624645113944863</v>
      </c>
      <c r="N98" s="95">
        <v>349</v>
      </c>
      <c r="O98" s="118">
        <v>10</v>
      </c>
    </row>
    <row r="99" spans="12:15" x14ac:dyDescent="0.2">
      <c r="L99" s="117" t="s">
        <v>109</v>
      </c>
      <c r="M99" s="112">
        <v>2.0065350458025901E-2</v>
      </c>
      <c r="N99" s="95">
        <v>26</v>
      </c>
      <c r="O99" s="118">
        <v>2</v>
      </c>
    </row>
    <row r="100" spans="12:15" ht="17" thickBot="1" x14ac:dyDescent="0.25">
      <c r="L100" s="128"/>
      <c r="M100" s="129"/>
      <c r="N100" s="130"/>
      <c r="O100" s="131"/>
    </row>
    <row r="101" spans="12:15" ht="17" thickBot="1" x14ac:dyDescent="0.25">
      <c r="L101" s="132" t="s">
        <v>4</v>
      </c>
      <c r="M101" s="133">
        <f>SUM(M7:M100)</f>
        <v>809061.69320482889</v>
      </c>
      <c r="N101" s="119">
        <f>SUM(N7:N100)</f>
        <v>148917322</v>
      </c>
      <c r="O101" s="120">
        <f>SUM(M101:N101)</f>
        <v>149726383.69320482</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2"/>
  <sheetViews>
    <sheetView topLeftCell="A4" zoomScale="118" zoomScaleNormal="100" workbookViewId="0">
      <selection activeCell="G20" sqref="G20"/>
    </sheetView>
  </sheetViews>
  <sheetFormatPr baseColWidth="10" defaultRowHeight="16" x14ac:dyDescent="0.2"/>
  <cols>
    <col min="2" max="2" width="18" customWidth="1"/>
    <col min="3" max="3" width="39.28515625" style="9" bestFit="1" customWidth="1"/>
    <col min="4" max="4" width="40.85546875" customWidth="1"/>
    <col min="5" max="5" width="16.28515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79" t="s">
        <v>0</v>
      </c>
      <c r="C3" s="279"/>
      <c r="D3" s="279"/>
      <c r="E3" s="279"/>
      <c r="F3" s="279"/>
      <c r="G3" s="279"/>
      <c r="H3" s="92"/>
      <c r="I3" s="92"/>
      <c r="J3" s="92"/>
      <c r="K3" s="92"/>
      <c r="L3" s="92"/>
      <c r="M3" s="92"/>
      <c r="N3" s="92"/>
      <c r="O3" s="92"/>
    </row>
    <row r="4" spans="2:15" ht="18" x14ac:dyDescent="0.2">
      <c r="B4" s="280" t="s">
        <v>165</v>
      </c>
      <c r="C4" s="280"/>
      <c r="D4" s="280"/>
      <c r="E4" s="280"/>
      <c r="F4" s="280"/>
      <c r="G4" s="280"/>
    </row>
    <row r="5" spans="2:15" ht="17" thickBot="1" x14ac:dyDescent="0.25">
      <c r="B5" s="8"/>
      <c r="C5" s="6"/>
      <c r="D5" s="19"/>
    </row>
    <row r="6" spans="2:15" s="135" customFormat="1" ht="20" thickBot="1" x14ac:dyDescent="0.25">
      <c r="B6" s="152" t="s">
        <v>28</v>
      </c>
      <c r="C6" s="153" t="s">
        <v>29</v>
      </c>
      <c r="D6" s="154" t="s">
        <v>30</v>
      </c>
      <c r="E6" s="153" t="s">
        <v>154</v>
      </c>
      <c r="F6" s="153" t="s">
        <v>155</v>
      </c>
      <c r="G6" s="153" t="s">
        <v>156</v>
      </c>
      <c r="K6" s="155"/>
      <c r="L6" s="155"/>
    </row>
    <row r="7" spans="2:15" ht="52" thickBot="1" x14ac:dyDescent="0.25">
      <c r="B7" s="278" t="s">
        <v>1</v>
      </c>
      <c r="C7" s="160" t="s">
        <v>31</v>
      </c>
      <c r="D7" s="164" t="s">
        <v>32</v>
      </c>
      <c r="E7" s="166">
        <v>3.0238116160035051E-3</v>
      </c>
      <c r="F7" s="156">
        <v>11</v>
      </c>
      <c r="G7" s="157">
        <v>2</v>
      </c>
    </row>
    <row r="8" spans="2:15" ht="35" thickBot="1" x14ac:dyDescent="0.25">
      <c r="B8" s="278"/>
      <c r="C8" s="161" t="s">
        <v>33</v>
      </c>
      <c r="D8" s="168" t="s">
        <v>34</v>
      </c>
      <c r="E8" s="163">
        <v>8297.4534823745289</v>
      </c>
      <c r="F8" s="158">
        <v>190177</v>
      </c>
      <c r="G8" s="159">
        <v>181</v>
      </c>
    </row>
    <row r="9" spans="2:15" ht="52" thickBot="1" x14ac:dyDescent="0.25">
      <c r="B9" s="278"/>
      <c r="C9" s="161" t="s">
        <v>35</v>
      </c>
      <c r="D9" s="167" t="s">
        <v>36</v>
      </c>
      <c r="E9" s="163">
        <v>418.58245519082811</v>
      </c>
      <c r="F9" s="158">
        <v>2947</v>
      </c>
      <c r="G9" s="159">
        <v>11</v>
      </c>
    </row>
    <row r="10" spans="2:15" ht="52" thickBot="1" x14ac:dyDescent="0.25">
      <c r="B10" s="278"/>
      <c r="C10" s="161" t="s">
        <v>37</v>
      </c>
      <c r="D10" s="167" t="s">
        <v>38</v>
      </c>
      <c r="E10" s="163">
        <v>9.2783179134130284E-2</v>
      </c>
      <c r="F10" s="158">
        <v>10</v>
      </c>
      <c r="G10" s="159">
        <v>4</v>
      </c>
    </row>
    <row r="11" spans="2:15" ht="52" thickBot="1" x14ac:dyDescent="0.25">
      <c r="B11" s="278"/>
      <c r="C11" s="161" t="s">
        <v>39</v>
      </c>
      <c r="D11" s="167" t="s">
        <v>40</v>
      </c>
      <c r="E11" s="163">
        <v>215723.36799539698</v>
      </c>
      <c r="F11" s="158">
        <v>132947228</v>
      </c>
      <c r="G11" s="159">
        <v>522</v>
      </c>
    </row>
    <row r="12" spans="2:15" ht="52" thickBot="1" x14ac:dyDescent="0.25">
      <c r="B12" s="278"/>
      <c r="C12" s="161" t="s">
        <v>41</v>
      </c>
      <c r="D12" s="167" t="s">
        <v>42</v>
      </c>
      <c r="E12" s="163">
        <v>33.140986637212315</v>
      </c>
      <c r="F12" s="158">
        <v>11598</v>
      </c>
      <c r="G12" s="159">
        <v>37</v>
      </c>
    </row>
    <row r="13" spans="2:15" ht="35" thickBot="1" x14ac:dyDescent="0.25">
      <c r="B13" s="278"/>
      <c r="C13" s="161" t="s">
        <v>149</v>
      </c>
      <c r="D13" s="167" t="s">
        <v>150</v>
      </c>
      <c r="E13" s="163">
        <v>11647.622420799897</v>
      </c>
      <c r="F13" s="158">
        <v>62717</v>
      </c>
      <c r="G13" s="159">
        <v>200</v>
      </c>
    </row>
    <row r="14" spans="2:15" ht="35" thickBot="1" x14ac:dyDescent="0.25">
      <c r="B14" s="278"/>
      <c r="C14" s="162" t="s">
        <v>152</v>
      </c>
      <c r="D14" s="165" t="s">
        <v>153</v>
      </c>
      <c r="E14" s="174">
        <v>544886.74072390248</v>
      </c>
      <c r="F14" s="175">
        <v>98991</v>
      </c>
      <c r="G14" s="176">
        <v>325</v>
      </c>
    </row>
    <row r="15" spans="2:15" ht="35" thickBot="1" x14ac:dyDescent="0.25">
      <c r="B15" s="278" t="s">
        <v>2</v>
      </c>
      <c r="C15" s="169" t="s">
        <v>43</v>
      </c>
      <c r="D15" s="170" t="s">
        <v>44</v>
      </c>
      <c r="E15" s="171">
        <v>995.86173709388754</v>
      </c>
      <c r="F15" s="172">
        <v>580597</v>
      </c>
      <c r="G15" s="173">
        <v>89</v>
      </c>
    </row>
    <row r="16" spans="2:15" ht="35" thickBot="1" x14ac:dyDescent="0.25">
      <c r="B16" s="278"/>
      <c r="C16" s="162" t="s">
        <v>45</v>
      </c>
      <c r="D16" s="165" t="s">
        <v>46</v>
      </c>
      <c r="E16" s="174">
        <v>10.262659804895511</v>
      </c>
      <c r="F16" s="175">
        <v>21501</v>
      </c>
      <c r="G16" s="176">
        <v>23</v>
      </c>
    </row>
    <row r="17" spans="2:7" ht="35" thickBot="1" x14ac:dyDescent="0.25">
      <c r="B17" s="278" t="s">
        <v>3</v>
      </c>
      <c r="C17" s="169" t="s">
        <v>189</v>
      </c>
      <c r="D17" s="170" t="s">
        <v>190</v>
      </c>
      <c r="E17" s="171">
        <v>0.35467074997723103</v>
      </c>
      <c r="F17" s="172">
        <v>2</v>
      </c>
      <c r="G17" s="173">
        <v>1</v>
      </c>
    </row>
    <row r="18" spans="2:7" ht="52" thickBot="1" x14ac:dyDescent="0.25">
      <c r="B18" s="278"/>
      <c r="C18" s="169" t="s">
        <v>47</v>
      </c>
      <c r="D18" s="170" t="s">
        <v>48</v>
      </c>
      <c r="E18" s="171">
        <v>852.67322750668768</v>
      </c>
      <c r="F18" s="172">
        <v>330275</v>
      </c>
      <c r="G18" s="173">
        <v>46</v>
      </c>
    </row>
    <row r="19" spans="2:7" ht="35" thickBot="1" x14ac:dyDescent="0.25">
      <c r="B19" s="278"/>
      <c r="C19" s="161" t="s">
        <v>49</v>
      </c>
      <c r="D19" s="167" t="s">
        <v>50</v>
      </c>
      <c r="E19" s="163">
        <v>22063.659571391432</v>
      </c>
      <c r="F19" s="158">
        <v>7074145</v>
      </c>
      <c r="G19" s="159">
        <v>81</v>
      </c>
    </row>
    <row r="20" spans="2:7" ht="35" thickBot="1" x14ac:dyDescent="0.25">
      <c r="B20" s="278"/>
      <c r="C20" s="162" t="s">
        <v>139</v>
      </c>
      <c r="D20" s="165" t="s">
        <v>140</v>
      </c>
      <c r="E20" s="174">
        <v>4131.8774669896793</v>
      </c>
      <c r="F20" s="175">
        <v>7597123</v>
      </c>
      <c r="G20" s="176">
        <v>91</v>
      </c>
    </row>
    <row r="21" spans="2:7" ht="17" thickBot="1" x14ac:dyDescent="0.25">
      <c r="B21" s="46" t="s">
        <v>4</v>
      </c>
      <c r="C21" s="177"/>
      <c r="D21" s="24"/>
      <c r="E21" s="178">
        <f>SUM(E7:E20)</f>
        <v>809061.69320482924</v>
      </c>
      <c r="F21" s="179">
        <f>SUM(F7:F20)</f>
        <v>148917322</v>
      </c>
      <c r="G21" s="180">
        <f>SUM(G7:G20)</f>
        <v>1613</v>
      </c>
    </row>
    <row r="22" spans="2:7" x14ac:dyDescent="0.2">
      <c r="B22" s="8"/>
      <c r="D22" s="19"/>
    </row>
    <row r="23" spans="2:7" x14ac:dyDescent="0.2">
      <c r="B23" s="8"/>
      <c r="C23" s="6"/>
      <c r="D23" s="19"/>
    </row>
    <row r="24" spans="2:7" x14ac:dyDescent="0.2">
      <c r="B24" s="8"/>
      <c r="C24" s="6"/>
      <c r="D24" s="19"/>
    </row>
    <row r="25" spans="2:7" x14ac:dyDescent="0.2">
      <c r="B25" s="8"/>
      <c r="C25" s="6"/>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row r="16382" spans="2:4" x14ac:dyDescent="0.2">
      <c r="B16382" s="8"/>
      <c r="C16382" s="6"/>
      <c r="D16382" s="19"/>
    </row>
  </sheetData>
  <mergeCells count="5">
    <mergeCell ref="B7:B14"/>
    <mergeCell ref="B15:B16"/>
    <mergeCell ref="B17:B20"/>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96"/>
  <sheetViews>
    <sheetView tabSelected="1" topLeftCell="B67" zoomScale="104" zoomScaleNormal="100" workbookViewId="0">
      <selection activeCell="G97" sqref="G97"/>
    </sheetView>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4.570312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76" t="s">
        <v>158</v>
      </c>
      <c r="C3" s="276"/>
      <c r="D3" s="276"/>
      <c r="E3" s="276"/>
      <c r="F3" s="276"/>
      <c r="G3" s="276"/>
      <c r="H3" s="93"/>
      <c r="I3" s="93"/>
    </row>
    <row r="4" spans="2:26" ht="18" x14ac:dyDescent="0.2">
      <c r="B4" s="280" t="s">
        <v>165</v>
      </c>
      <c r="C4" s="280"/>
      <c r="D4" s="280"/>
      <c r="E4" s="280"/>
      <c r="F4" s="280"/>
      <c r="G4" s="280"/>
      <c r="H4" s="187"/>
      <c r="I4" s="187"/>
    </row>
    <row r="5" spans="2:26" s="12" customFormat="1" ht="17" thickBot="1" x14ac:dyDescent="0.25">
      <c r="B5" s="10"/>
      <c r="C5" s="11"/>
      <c r="D5" s="7"/>
      <c r="E5" s="185"/>
      <c r="F5" s="186"/>
      <c r="G5" s="186"/>
    </row>
    <row r="6" spans="2:26" s="6" customFormat="1" ht="17" thickBot="1" x14ac:dyDescent="0.25">
      <c r="B6" s="66" t="s">
        <v>51</v>
      </c>
      <c r="C6" s="13" t="s">
        <v>28</v>
      </c>
      <c r="D6" s="21" t="s">
        <v>52</v>
      </c>
      <c r="E6" s="16" t="s">
        <v>154</v>
      </c>
      <c r="F6" s="182" t="s">
        <v>155</v>
      </c>
      <c r="G6" s="182" t="s">
        <v>156</v>
      </c>
    </row>
    <row r="7" spans="2:26" ht="17" thickBot="1" x14ac:dyDescent="0.25">
      <c r="B7" s="14" t="s">
        <v>22</v>
      </c>
      <c r="C7" s="67"/>
      <c r="D7" s="68"/>
      <c r="E7" s="65">
        <v>41599.134616331103</v>
      </c>
      <c r="F7" s="61">
        <v>1017671</v>
      </c>
      <c r="G7" s="23">
        <v>1035</v>
      </c>
      <c r="Z7" s="9"/>
    </row>
    <row r="8" spans="2:26" x14ac:dyDescent="0.2">
      <c r="B8" s="15"/>
      <c r="C8" s="73" t="s">
        <v>1</v>
      </c>
      <c r="D8" s="74"/>
      <c r="E8" s="69">
        <v>40351.526265665794</v>
      </c>
      <c r="F8" s="88">
        <v>425328</v>
      </c>
      <c r="G8" s="26">
        <v>849</v>
      </c>
      <c r="Z8" s="9"/>
    </row>
    <row r="9" spans="2:26" x14ac:dyDescent="0.2">
      <c r="B9" s="15"/>
      <c r="C9" s="75"/>
      <c r="D9" s="181" t="s">
        <v>31</v>
      </c>
      <c r="E9" s="29">
        <v>2.1991357207298201E-3</v>
      </c>
      <c r="F9" s="20">
        <v>8</v>
      </c>
      <c r="G9" s="22">
        <v>1</v>
      </c>
      <c r="Z9" s="9"/>
    </row>
    <row r="10" spans="2:26" x14ac:dyDescent="0.2">
      <c r="B10" s="15"/>
      <c r="C10" s="75"/>
      <c r="D10" s="181" t="s">
        <v>33</v>
      </c>
      <c r="E10" s="29">
        <v>5761.841140079302</v>
      </c>
      <c r="F10" s="20">
        <v>28797</v>
      </c>
      <c r="G10" s="22">
        <v>84</v>
      </c>
      <c r="Z10" s="9"/>
    </row>
    <row r="11" spans="2:26" x14ac:dyDescent="0.2">
      <c r="B11" s="15"/>
      <c r="C11" s="75"/>
      <c r="D11" s="181" t="s">
        <v>35</v>
      </c>
      <c r="E11" s="29">
        <v>188.49096868373351</v>
      </c>
      <c r="F11" s="20">
        <v>1268</v>
      </c>
      <c r="G11" s="22">
        <v>4</v>
      </c>
      <c r="Z11" s="9"/>
    </row>
    <row r="12" spans="2:26" x14ac:dyDescent="0.2">
      <c r="B12" s="15"/>
      <c r="C12" s="75"/>
      <c r="D12" s="181" t="s">
        <v>37</v>
      </c>
      <c r="E12" s="29">
        <v>5.5669907480478183E-2</v>
      </c>
      <c r="F12" s="20">
        <v>6</v>
      </c>
      <c r="G12" s="22">
        <v>3</v>
      </c>
      <c r="Z12" s="9"/>
    </row>
    <row r="13" spans="2:26" x14ac:dyDescent="0.2">
      <c r="B13" s="15"/>
      <c r="C13" s="75"/>
      <c r="D13" s="181" t="s">
        <v>39</v>
      </c>
      <c r="E13" s="29">
        <v>2126.1868746364462</v>
      </c>
      <c r="F13" s="20">
        <v>310025</v>
      </c>
      <c r="G13" s="22">
        <v>388</v>
      </c>
      <c r="Z13" s="9"/>
    </row>
    <row r="14" spans="2:26" x14ac:dyDescent="0.2">
      <c r="B14" s="15"/>
      <c r="C14" s="75"/>
      <c r="D14" s="181" t="s">
        <v>41</v>
      </c>
      <c r="E14" s="29">
        <v>18.084802232682691</v>
      </c>
      <c r="F14" s="20">
        <v>2265</v>
      </c>
      <c r="G14" s="22">
        <v>23</v>
      </c>
      <c r="Z14" s="9"/>
    </row>
    <row r="15" spans="2:26" x14ac:dyDescent="0.2">
      <c r="B15" s="15"/>
      <c r="C15" s="75"/>
      <c r="D15" s="181" t="s">
        <v>149</v>
      </c>
      <c r="E15" s="29">
        <v>5568.3114108871578</v>
      </c>
      <c r="F15" s="20">
        <v>19487</v>
      </c>
      <c r="G15" s="22">
        <v>83</v>
      </c>
      <c r="Z15" s="9"/>
    </row>
    <row r="16" spans="2:26" x14ac:dyDescent="0.2">
      <c r="B16" s="15"/>
      <c r="C16" s="75"/>
      <c r="D16" s="181" t="s">
        <v>152</v>
      </c>
      <c r="E16" s="29">
        <v>26688.55320010327</v>
      </c>
      <c r="F16" s="20">
        <v>63472</v>
      </c>
      <c r="G16" s="22">
        <v>263</v>
      </c>
      <c r="Z16" s="9"/>
    </row>
    <row r="17" spans="2:26" x14ac:dyDescent="0.2">
      <c r="B17" s="15"/>
      <c r="C17" s="77" t="s">
        <v>2</v>
      </c>
      <c r="D17" s="78"/>
      <c r="E17" s="229">
        <v>90.441321713849831</v>
      </c>
      <c r="F17" s="230">
        <v>115699</v>
      </c>
      <c r="G17" s="184">
        <v>72</v>
      </c>
      <c r="Z17" s="9"/>
    </row>
    <row r="18" spans="2:26" x14ac:dyDescent="0.2">
      <c r="B18" s="15"/>
      <c r="C18" s="75"/>
      <c r="D18" s="76" t="s">
        <v>43</v>
      </c>
      <c r="E18" s="29">
        <v>88.655809965915907</v>
      </c>
      <c r="F18" s="20">
        <v>110716</v>
      </c>
      <c r="G18" s="22">
        <v>59</v>
      </c>
      <c r="Z18" s="9"/>
    </row>
    <row r="19" spans="2:26" x14ac:dyDescent="0.2">
      <c r="B19" s="15"/>
      <c r="C19" s="75"/>
      <c r="D19" s="76" t="s">
        <v>45</v>
      </c>
      <c r="E19" s="29">
        <v>1.7855117479339229</v>
      </c>
      <c r="F19" s="20">
        <v>4983</v>
      </c>
      <c r="G19" s="22">
        <v>13</v>
      </c>
      <c r="Z19" s="9"/>
    </row>
    <row r="20" spans="2:26" x14ac:dyDescent="0.2">
      <c r="B20" s="15"/>
      <c r="C20" s="77" t="s">
        <v>3</v>
      </c>
      <c r="D20" s="78"/>
      <c r="E20" s="229">
        <v>1157.1670289514564</v>
      </c>
      <c r="F20" s="230">
        <v>476644</v>
      </c>
      <c r="G20" s="184">
        <v>114</v>
      </c>
      <c r="Z20" s="9"/>
    </row>
    <row r="21" spans="2:26" x14ac:dyDescent="0.2">
      <c r="B21" s="15"/>
      <c r="C21" s="77"/>
      <c r="D21" s="222" t="s">
        <v>189</v>
      </c>
      <c r="E21" s="70">
        <v>0.35467074997723103</v>
      </c>
      <c r="F21" s="89">
        <v>2</v>
      </c>
      <c r="G21" s="47">
        <v>1</v>
      </c>
      <c r="Z21" s="9"/>
    </row>
    <row r="22" spans="2:26" x14ac:dyDescent="0.2">
      <c r="B22" s="15"/>
      <c r="C22" s="75"/>
      <c r="D22" s="76" t="s">
        <v>47</v>
      </c>
      <c r="E22" s="29">
        <v>295.42970833741026</v>
      </c>
      <c r="F22" s="20">
        <v>78522</v>
      </c>
      <c r="G22" s="22">
        <v>26</v>
      </c>
      <c r="Z22" s="9"/>
    </row>
    <row r="23" spans="2:26" x14ac:dyDescent="0.2">
      <c r="B23" s="15"/>
      <c r="C23" s="75"/>
      <c r="D23" s="76" t="s">
        <v>49</v>
      </c>
      <c r="E23" s="29">
        <v>95.053580923937133</v>
      </c>
      <c r="F23" s="20">
        <v>30621</v>
      </c>
      <c r="G23" s="22">
        <v>42</v>
      </c>
      <c r="Z23" s="9"/>
    </row>
    <row r="24" spans="2:26" ht="17" thickBot="1" x14ac:dyDescent="0.25">
      <c r="B24" s="15"/>
      <c r="C24" s="79"/>
      <c r="D24" s="80" t="s">
        <v>139</v>
      </c>
      <c r="E24" s="30">
        <v>766.32906894013172</v>
      </c>
      <c r="F24" s="71">
        <v>367499</v>
      </c>
      <c r="G24" s="72">
        <v>45</v>
      </c>
      <c r="Z24" s="9"/>
    </row>
    <row r="25" spans="2:26" ht="17" thickBot="1" x14ac:dyDescent="0.25">
      <c r="B25" s="14" t="s">
        <v>23</v>
      </c>
      <c r="C25" s="81"/>
      <c r="D25" s="68"/>
      <c r="E25" s="65">
        <v>417822.4147061421</v>
      </c>
      <c r="F25" s="61">
        <v>125876777</v>
      </c>
      <c r="G25" s="23">
        <v>29</v>
      </c>
      <c r="Z25" s="9"/>
    </row>
    <row r="26" spans="2:26" x14ac:dyDescent="0.2">
      <c r="B26" s="15"/>
      <c r="C26" s="73" t="s">
        <v>1</v>
      </c>
      <c r="D26" s="74"/>
      <c r="E26" s="86">
        <v>175595.64685766667</v>
      </c>
      <c r="F26" s="90">
        <v>122684273</v>
      </c>
      <c r="G26" s="25">
        <v>20</v>
      </c>
      <c r="Z26" s="9"/>
    </row>
    <row r="27" spans="2:26" x14ac:dyDescent="0.2">
      <c r="B27" s="15"/>
      <c r="C27" s="82"/>
      <c r="D27" s="76" t="s">
        <v>33</v>
      </c>
      <c r="E27" s="63">
        <v>18.415359194390401</v>
      </c>
      <c r="F27" s="62">
        <v>146824</v>
      </c>
      <c r="G27" s="47">
        <v>2</v>
      </c>
      <c r="Z27" s="9"/>
    </row>
    <row r="28" spans="2:26" x14ac:dyDescent="0.2">
      <c r="B28" s="15"/>
      <c r="C28" s="82"/>
      <c r="D28" s="76" t="s">
        <v>35</v>
      </c>
      <c r="E28" s="63">
        <v>0.31673067901283503</v>
      </c>
      <c r="F28" s="62">
        <v>2</v>
      </c>
      <c r="G28" s="47">
        <v>1</v>
      </c>
      <c r="Z28" s="9"/>
    </row>
    <row r="29" spans="2:26" x14ac:dyDescent="0.2">
      <c r="B29" s="15"/>
      <c r="C29" s="82"/>
      <c r="D29" s="76" t="s">
        <v>39</v>
      </c>
      <c r="E29" s="63">
        <v>175446.31715033099</v>
      </c>
      <c r="F29" s="62">
        <v>122526570</v>
      </c>
      <c r="G29" s="47">
        <v>6</v>
      </c>
      <c r="Z29" s="9"/>
    </row>
    <row r="30" spans="2:26" x14ac:dyDescent="0.2">
      <c r="B30" s="15"/>
      <c r="C30" s="82"/>
      <c r="D30" s="76" t="s">
        <v>41</v>
      </c>
      <c r="E30" s="63">
        <v>1.3364513590931832</v>
      </c>
      <c r="F30" s="62">
        <v>7407</v>
      </c>
      <c r="G30" s="47">
        <v>3</v>
      </c>
      <c r="Z30" s="9"/>
    </row>
    <row r="31" spans="2:26" x14ac:dyDescent="0.2">
      <c r="B31" s="15"/>
      <c r="C31" s="82"/>
      <c r="D31" s="76" t="s">
        <v>149</v>
      </c>
      <c r="E31" s="63">
        <v>127.19564643688443</v>
      </c>
      <c r="F31" s="62">
        <v>3468</v>
      </c>
      <c r="G31" s="47">
        <v>6</v>
      </c>
      <c r="Z31" s="9"/>
    </row>
    <row r="32" spans="2:26" x14ac:dyDescent="0.2">
      <c r="B32" s="15"/>
      <c r="C32" s="82"/>
      <c r="D32" s="76" t="s">
        <v>152</v>
      </c>
      <c r="E32" s="63">
        <v>2.0655196662992208</v>
      </c>
      <c r="F32" s="62">
        <v>2</v>
      </c>
      <c r="G32" s="47">
        <v>2</v>
      </c>
      <c r="Z32" s="9"/>
    </row>
    <row r="33" spans="2:26" x14ac:dyDescent="0.2">
      <c r="B33" s="15"/>
      <c r="C33" s="83" t="s">
        <v>2</v>
      </c>
      <c r="D33" s="74"/>
      <c r="E33" s="86">
        <v>6.9665823439136147</v>
      </c>
      <c r="F33" s="90">
        <v>13323</v>
      </c>
      <c r="G33" s="25">
        <v>4</v>
      </c>
      <c r="Z33" s="9"/>
    </row>
    <row r="34" spans="2:26" x14ac:dyDescent="0.2">
      <c r="B34" s="15"/>
      <c r="C34" s="82"/>
      <c r="D34" s="76" t="s">
        <v>43</v>
      </c>
      <c r="E34" s="48">
        <v>7.9931537620723095E-2</v>
      </c>
      <c r="F34" s="58">
        <v>172</v>
      </c>
      <c r="G34" s="22">
        <v>2</v>
      </c>
      <c r="Z34" s="9"/>
    </row>
    <row r="35" spans="2:26" x14ac:dyDescent="0.2">
      <c r="B35" s="15"/>
      <c r="C35" s="82"/>
      <c r="D35" s="181" t="s">
        <v>45</v>
      </c>
      <c r="E35" s="48">
        <v>6.8866508062928915</v>
      </c>
      <c r="F35" s="58">
        <v>13151</v>
      </c>
      <c r="G35" s="22">
        <v>2</v>
      </c>
      <c r="Z35" s="9"/>
    </row>
    <row r="36" spans="2:26" x14ac:dyDescent="0.2">
      <c r="B36" s="15"/>
      <c r="C36" s="83" t="s">
        <v>3</v>
      </c>
      <c r="D36" s="183"/>
      <c r="E36" s="86">
        <v>25036.05645967917</v>
      </c>
      <c r="F36" s="90">
        <v>13382255</v>
      </c>
      <c r="G36" s="25">
        <v>8</v>
      </c>
      <c r="Z36" s="9"/>
    </row>
    <row r="37" spans="2:26" x14ac:dyDescent="0.2">
      <c r="B37" s="15"/>
      <c r="C37" s="223"/>
      <c r="D37" s="222" t="s">
        <v>189</v>
      </c>
      <c r="E37" s="226">
        <v>0.19782228209078301</v>
      </c>
      <c r="F37" s="227">
        <v>772</v>
      </c>
      <c r="G37" s="26">
        <v>1</v>
      </c>
      <c r="H37" s="228"/>
      <c r="Z37" s="9"/>
    </row>
    <row r="38" spans="2:26" x14ac:dyDescent="0.2">
      <c r="B38" s="15"/>
      <c r="C38" s="84"/>
      <c r="D38" s="76" t="s">
        <v>49</v>
      </c>
      <c r="E38" s="64">
        <v>21835.796689067869</v>
      </c>
      <c r="F38" s="59">
        <v>6837258</v>
      </c>
      <c r="G38" s="22">
        <v>4</v>
      </c>
      <c r="Z38" s="9"/>
    </row>
    <row r="39" spans="2:26" ht="17" thickBot="1" x14ac:dyDescent="0.25">
      <c r="B39" s="15"/>
      <c r="C39" s="84"/>
      <c r="D39" s="80" t="s">
        <v>139</v>
      </c>
      <c r="E39" s="64">
        <v>3200.0619483292098</v>
      </c>
      <c r="F39" s="59">
        <v>6544225</v>
      </c>
      <c r="G39" s="72">
        <v>3</v>
      </c>
      <c r="Z39" s="9"/>
    </row>
    <row r="40" spans="2:26" ht="17" thickBot="1" x14ac:dyDescent="0.25">
      <c r="B40" s="14" t="s">
        <v>24</v>
      </c>
      <c r="C40" s="81"/>
      <c r="D40" s="68"/>
      <c r="E40" s="65">
        <v>534842.23916949076</v>
      </c>
      <c r="F40" s="61">
        <v>1943116</v>
      </c>
      <c r="G40" s="23">
        <v>121</v>
      </c>
      <c r="Z40" s="9"/>
    </row>
    <row r="41" spans="2:26" x14ac:dyDescent="0.2">
      <c r="B41" s="15"/>
      <c r="C41" s="73" t="s">
        <v>1</v>
      </c>
      <c r="D41" s="74"/>
      <c r="E41" s="86">
        <v>534704.15591330011</v>
      </c>
      <c r="F41" s="90">
        <v>1759434</v>
      </c>
      <c r="G41" s="25">
        <v>90</v>
      </c>
      <c r="Z41" s="9"/>
    </row>
    <row r="42" spans="2:26" x14ac:dyDescent="0.2">
      <c r="B42" s="15"/>
      <c r="C42" s="75"/>
      <c r="D42" s="76" t="s">
        <v>33</v>
      </c>
      <c r="E42" s="48">
        <v>2506.5958904009212</v>
      </c>
      <c r="F42" s="58">
        <v>10710</v>
      </c>
      <c r="G42" s="22">
        <v>24</v>
      </c>
      <c r="Z42" s="9"/>
    </row>
    <row r="43" spans="2:26" x14ac:dyDescent="0.2">
      <c r="B43" s="15"/>
      <c r="C43" s="75"/>
      <c r="D43" s="76" t="s">
        <v>35</v>
      </c>
      <c r="E43" s="48">
        <v>229.77475582808168</v>
      </c>
      <c r="F43" s="58">
        <v>1677</v>
      </c>
      <c r="G43" s="22">
        <v>6</v>
      </c>
      <c r="Z43" s="9"/>
    </row>
    <row r="44" spans="2:26" x14ac:dyDescent="0.2">
      <c r="B44" s="15"/>
      <c r="C44" s="75"/>
      <c r="D44" s="76" t="s">
        <v>39</v>
      </c>
      <c r="E44" s="48">
        <v>10843.469592621543</v>
      </c>
      <c r="F44" s="58">
        <v>1703777</v>
      </c>
      <c r="G44" s="22">
        <v>27</v>
      </c>
      <c r="Z44" s="9"/>
    </row>
    <row r="45" spans="2:26" x14ac:dyDescent="0.2">
      <c r="B45" s="15"/>
      <c r="C45" s="75"/>
      <c r="D45" s="76" t="s">
        <v>41</v>
      </c>
      <c r="E45" s="48">
        <v>7.2760374881327143</v>
      </c>
      <c r="F45" s="58">
        <v>945</v>
      </c>
      <c r="G45" s="22">
        <v>4</v>
      </c>
      <c r="Z45" s="9"/>
    </row>
    <row r="46" spans="2:26" x14ac:dyDescent="0.2">
      <c r="B46" s="15"/>
      <c r="C46" s="75"/>
      <c r="D46" s="76" t="s">
        <v>149</v>
      </c>
      <c r="E46" s="48">
        <v>2934.2007044330171</v>
      </c>
      <c r="F46" s="58">
        <v>9900</v>
      </c>
      <c r="G46" s="22">
        <v>25</v>
      </c>
      <c r="Z46" s="9"/>
    </row>
    <row r="47" spans="2:26" x14ac:dyDescent="0.2">
      <c r="B47" s="15"/>
      <c r="C47" s="75"/>
      <c r="D47" s="76" t="s">
        <v>152</v>
      </c>
      <c r="E47" s="48">
        <v>518182.83893252839</v>
      </c>
      <c r="F47" s="58">
        <v>32425</v>
      </c>
      <c r="G47" s="22">
        <v>4</v>
      </c>
      <c r="Z47" s="9"/>
    </row>
    <row r="48" spans="2:26" x14ac:dyDescent="0.2">
      <c r="B48" s="15"/>
      <c r="C48" s="77" t="s">
        <v>2</v>
      </c>
      <c r="D48" s="74"/>
      <c r="E48" s="86">
        <v>5.1235440392047007</v>
      </c>
      <c r="F48" s="90">
        <v>12673</v>
      </c>
      <c r="G48" s="25">
        <v>8</v>
      </c>
      <c r="Z48" s="9"/>
    </row>
    <row r="49" spans="2:26" x14ac:dyDescent="0.2">
      <c r="B49" s="15"/>
      <c r="C49" s="75"/>
      <c r="D49" s="76" t="s">
        <v>43</v>
      </c>
      <c r="E49" s="48">
        <v>4.9864022564142783</v>
      </c>
      <c r="F49" s="58">
        <v>12586</v>
      </c>
      <c r="G49" s="22">
        <v>5</v>
      </c>
      <c r="Z49" s="9"/>
    </row>
    <row r="50" spans="2:26" x14ac:dyDescent="0.2">
      <c r="B50" s="15"/>
      <c r="C50" s="75"/>
      <c r="D50" s="76" t="s">
        <v>45</v>
      </c>
      <c r="E50" s="48">
        <v>0.13714178279042202</v>
      </c>
      <c r="F50" s="58">
        <v>87</v>
      </c>
      <c r="G50" s="22">
        <v>3</v>
      </c>
      <c r="Z50" s="9"/>
    </row>
    <row r="51" spans="2:26" x14ac:dyDescent="0.2">
      <c r="B51" s="15"/>
      <c r="C51" s="77" t="s">
        <v>3</v>
      </c>
      <c r="D51" s="74"/>
      <c r="E51" s="69">
        <v>132.95971215143777</v>
      </c>
      <c r="F51" s="88">
        <v>171009</v>
      </c>
      <c r="G51" s="26">
        <v>23</v>
      </c>
      <c r="Z51" s="9"/>
    </row>
    <row r="52" spans="2:26" x14ac:dyDescent="0.2">
      <c r="B52" s="15"/>
      <c r="C52" s="75"/>
      <c r="D52" s="76" t="s">
        <v>47</v>
      </c>
      <c r="E52" s="224">
        <v>23.242162121459778</v>
      </c>
      <c r="F52" s="225">
        <v>50073</v>
      </c>
      <c r="G52" s="47">
        <v>6</v>
      </c>
      <c r="Z52" s="9"/>
    </row>
    <row r="53" spans="2:26" x14ac:dyDescent="0.2">
      <c r="B53" s="15"/>
      <c r="C53" s="75"/>
      <c r="D53" s="76" t="s">
        <v>49</v>
      </c>
      <c r="E53" s="48">
        <v>83.082207067869518</v>
      </c>
      <c r="F53" s="58">
        <v>93027</v>
      </c>
      <c r="G53" s="22">
        <v>8</v>
      </c>
      <c r="Z53" s="9"/>
    </row>
    <row r="54" spans="2:26" ht="17" thickBot="1" x14ac:dyDescent="0.25">
      <c r="B54" s="15"/>
      <c r="C54" s="79"/>
      <c r="D54" s="80" t="s">
        <v>139</v>
      </c>
      <c r="E54" s="64">
        <v>26.635342962108471</v>
      </c>
      <c r="F54" s="59">
        <v>27909</v>
      </c>
      <c r="G54" s="72">
        <v>9</v>
      </c>
      <c r="Z54" s="9"/>
    </row>
    <row r="55" spans="2:26" ht="17" thickBot="1" x14ac:dyDescent="0.25">
      <c r="B55" s="14" t="s">
        <v>25</v>
      </c>
      <c r="C55" s="81"/>
      <c r="D55" s="68"/>
      <c r="E55" s="65">
        <v>31157.876092214061</v>
      </c>
      <c r="F55" s="61">
        <v>9603858</v>
      </c>
      <c r="G55" s="23">
        <v>61</v>
      </c>
      <c r="Z55" s="9"/>
    </row>
    <row r="56" spans="2:26" x14ac:dyDescent="0.2">
      <c r="B56" s="15"/>
      <c r="C56" s="73" t="s">
        <v>1</v>
      </c>
      <c r="D56" s="74"/>
      <c r="E56" s="86">
        <v>30109.118289753718</v>
      </c>
      <c r="F56" s="90">
        <v>8397723</v>
      </c>
      <c r="G56" s="25">
        <v>39</v>
      </c>
      <c r="Z56" s="9"/>
    </row>
    <row r="57" spans="2:26" x14ac:dyDescent="0.2">
      <c r="B57" s="15"/>
      <c r="C57" s="77"/>
      <c r="D57" s="85" t="s">
        <v>33</v>
      </c>
      <c r="E57" s="48">
        <v>0.82318073138594472</v>
      </c>
      <c r="F57" s="58">
        <v>201</v>
      </c>
      <c r="G57" s="22">
        <v>9</v>
      </c>
      <c r="Z57" s="9"/>
    </row>
    <row r="58" spans="2:26" x14ac:dyDescent="0.2">
      <c r="B58" s="15"/>
      <c r="C58" s="77"/>
      <c r="D58" s="85" t="s">
        <v>39</v>
      </c>
      <c r="E58" s="48">
        <v>27152.388491318488</v>
      </c>
      <c r="F58" s="58">
        <v>8382044</v>
      </c>
      <c r="G58" s="22">
        <v>17</v>
      </c>
      <c r="Z58" s="9"/>
    </row>
    <row r="59" spans="2:26" x14ac:dyDescent="0.2">
      <c r="B59" s="15"/>
      <c r="C59" s="75"/>
      <c r="D59" s="85" t="s">
        <v>41</v>
      </c>
      <c r="E59" s="48">
        <v>1.59312011674046E-2</v>
      </c>
      <c r="F59" s="58">
        <v>1</v>
      </c>
      <c r="G59" s="22">
        <v>1</v>
      </c>
      <c r="Z59" s="9"/>
    </row>
    <row r="60" spans="2:26" x14ac:dyDescent="0.2">
      <c r="B60" s="15"/>
      <c r="C60" s="75"/>
      <c r="D60" s="85" t="s">
        <v>149</v>
      </c>
      <c r="E60" s="48">
        <v>2947.6409244472111</v>
      </c>
      <c r="F60" s="58">
        <v>15473</v>
      </c>
      <c r="G60" s="22">
        <v>11</v>
      </c>
      <c r="Z60" s="9"/>
    </row>
    <row r="61" spans="2:26" x14ac:dyDescent="0.2">
      <c r="B61" s="15"/>
      <c r="C61" s="75"/>
      <c r="D61" s="85" t="s">
        <v>152</v>
      </c>
      <c r="E61" s="48">
        <v>8.24976205546408</v>
      </c>
      <c r="F61" s="58">
        <v>4</v>
      </c>
      <c r="G61" s="22">
        <v>1</v>
      </c>
      <c r="Z61" s="9"/>
    </row>
    <row r="62" spans="2:26" x14ac:dyDescent="0.2">
      <c r="B62" s="15"/>
      <c r="C62" s="77" t="s">
        <v>2</v>
      </c>
      <c r="D62" s="74"/>
      <c r="E62" s="86">
        <v>884.83144702948573</v>
      </c>
      <c r="F62" s="90">
        <v>426766</v>
      </c>
      <c r="G62" s="25">
        <v>3</v>
      </c>
      <c r="Z62" s="9"/>
    </row>
    <row r="63" spans="2:26" x14ac:dyDescent="0.2">
      <c r="B63" s="15"/>
      <c r="C63" s="75"/>
      <c r="D63" s="76" t="s">
        <v>43</v>
      </c>
      <c r="E63" s="48">
        <v>884.83144702948573</v>
      </c>
      <c r="F63" s="58">
        <v>426766</v>
      </c>
      <c r="G63" s="22">
        <v>3</v>
      </c>
      <c r="Z63" s="9"/>
    </row>
    <row r="64" spans="2:26" x14ac:dyDescent="0.2">
      <c r="B64" s="15"/>
      <c r="C64" s="77" t="s">
        <v>3</v>
      </c>
      <c r="D64" s="74"/>
      <c r="E64" s="86">
        <v>163.92635543085572</v>
      </c>
      <c r="F64" s="90">
        <v>779369</v>
      </c>
      <c r="G64" s="25">
        <v>19</v>
      </c>
      <c r="Z64" s="9"/>
    </row>
    <row r="65" spans="2:26" x14ac:dyDescent="0.2">
      <c r="B65" s="15"/>
      <c r="C65" s="75"/>
      <c r="D65" t="s">
        <v>47</v>
      </c>
      <c r="E65" s="48">
        <v>7.1531942458823297</v>
      </c>
      <c r="F65" s="58">
        <v>39476</v>
      </c>
      <c r="G65" s="22">
        <v>1</v>
      </c>
      <c r="Z65" s="9"/>
    </row>
    <row r="66" spans="2:26" x14ac:dyDescent="0.2">
      <c r="B66" s="15"/>
      <c r="C66" s="75"/>
      <c r="D66" s="76" t="s">
        <v>49</v>
      </c>
      <c r="E66" s="48">
        <v>21.198865896090787</v>
      </c>
      <c r="F66" s="58">
        <v>94272</v>
      </c>
      <c r="G66" s="22">
        <v>10</v>
      </c>
      <c r="Z66" s="9"/>
    </row>
    <row r="67" spans="2:26" ht="17" thickBot="1" x14ac:dyDescent="0.25">
      <c r="B67" s="15"/>
      <c r="C67" s="79"/>
      <c r="D67" s="80" t="s">
        <v>139</v>
      </c>
      <c r="E67" s="64">
        <v>135.57429528888261</v>
      </c>
      <c r="F67" s="59">
        <v>645621</v>
      </c>
      <c r="G67" s="72">
        <v>8</v>
      </c>
      <c r="Z67" s="9"/>
    </row>
    <row r="68" spans="2:26" ht="17" thickBot="1" x14ac:dyDescent="0.25">
      <c r="B68" s="14" t="s">
        <v>26</v>
      </c>
      <c r="C68" s="81"/>
      <c r="D68" s="68"/>
      <c r="E68" s="65">
        <v>562.27575283311205</v>
      </c>
      <c r="F68" s="61">
        <v>171093</v>
      </c>
      <c r="G68" s="23">
        <v>11</v>
      </c>
      <c r="Z68" s="9"/>
    </row>
    <row r="69" spans="2:26" x14ac:dyDescent="0.2">
      <c r="B69" s="15"/>
      <c r="C69" s="73" t="s">
        <v>1</v>
      </c>
      <c r="D69" s="74"/>
      <c r="E69" s="86">
        <v>4.1502050468697993</v>
      </c>
      <c r="F69" s="90">
        <v>645</v>
      </c>
      <c r="G69" s="25">
        <v>5</v>
      </c>
      <c r="Z69" s="9"/>
    </row>
    <row r="70" spans="2:26" x14ac:dyDescent="0.2">
      <c r="B70" s="15"/>
      <c r="C70" s="73"/>
      <c r="D70" s="216" t="s">
        <v>33</v>
      </c>
      <c r="E70" s="86">
        <v>2.4615693837404202E-4</v>
      </c>
      <c r="F70" s="90">
        <v>3</v>
      </c>
      <c r="G70" s="25">
        <v>1</v>
      </c>
      <c r="Z70" s="9"/>
    </row>
    <row r="71" spans="2:26" x14ac:dyDescent="0.2">
      <c r="B71" s="15"/>
      <c r="C71" s="73"/>
      <c r="D71" s="216" t="s">
        <v>39</v>
      </c>
      <c r="E71" s="86">
        <v>2.0808499082922851</v>
      </c>
      <c r="F71" s="90">
        <v>610</v>
      </c>
      <c r="G71" s="25">
        <v>3</v>
      </c>
      <c r="Z71" s="9"/>
    </row>
    <row r="72" spans="2:26" x14ac:dyDescent="0.2">
      <c r="B72" s="15"/>
      <c r="C72" s="75"/>
      <c r="D72" s="216" t="s">
        <v>152</v>
      </c>
      <c r="E72" s="48">
        <v>2.0691089816391401</v>
      </c>
      <c r="F72" s="58">
        <v>32</v>
      </c>
      <c r="G72" s="22">
        <v>1</v>
      </c>
      <c r="Z72" s="9"/>
    </row>
    <row r="73" spans="2:26" x14ac:dyDescent="0.2">
      <c r="B73" s="15"/>
      <c r="C73" s="77" t="s">
        <v>2</v>
      </c>
      <c r="D73" s="74"/>
      <c r="E73" s="86">
        <v>3.3436012603342502</v>
      </c>
      <c r="F73" s="90">
        <v>3272</v>
      </c>
      <c r="G73" s="25">
        <v>1</v>
      </c>
      <c r="Z73" s="9"/>
    </row>
    <row r="74" spans="2:26" x14ac:dyDescent="0.2">
      <c r="B74" s="15"/>
      <c r="C74" s="75"/>
      <c r="D74" s="76" t="s">
        <v>43</v>
      </c>
      <c r="E74" s="48">
        <v>3.3436012603342502</v>
      </c>
      <c r="F74" s="58">
        <v>3272</v>
      </c>
      <c r="G74" s="22">
        <v>1</v>
      </c>
      <c r="Z74" s="9"/>
    </row>
    <row r="75" spans="2:26" x14ac:dyDescent="0.2">
      <c r="B75" s="15"/>
      <c r="C75" s="77" t="s">
        <v>3</v>
      </c>
      <c r="D75" s="74"/>
      <c r="E75" s="86">
        <v>554.78194652590798</v>
      </c>
      <c r="F75" s="90">
        <v>167176</v>
      </c>
      <c r="G75" s="25">
        <v>5</v>
      </c>
      <c r="Z75" s="9"/>
    </row>
    <row r="76" spans="2:26" x14ac:dyDescent="0.2">
      <c r="B76" s="15"/>
      <c r="C76" s="77"/>
      <c r="D76" t="s">
        <v>47</v>
      </c>
      <c r="E76" s="48">
        <v>526.589812883175</v>
      </c>
      <c r="F76" s="58">
        <v>159261</v>
      </c>
      <c r="G76" s="22">
        <v>1</v>
      </c>
      <c r="Z76" s="9"/>
    </row>
    <row r="77" spans="2:26" x14ac:dyDescent="0.2">
      <c r="B77" s="15"/>
      <c r="C77" s="75"/>
      <c r="D77" s="76" t="s">
        <v>49</v>
      </c>
      <c r="E77" s="48">
        <v>28.191283466294319</v>
      </c>
      <c r="F77" s="58">
        <v>7910</v>
      </c>
      <c r="G77" s="22">
        <v>2</v>
      </c>
      <c r="Z77" s="9"/>
    </row>
    <row r="78" spans="2:26" ht="17" thickBot="1" x14ac:dyDescent="0.25">
      <c r="B78" s="15"/>
      <c r="C78" s="79"/>
      <c r="D78" s="80" t="s">
        <v>139</v>
      </c>
      <c r="E78" s="64">
        <v>8.5017643868923003E-4</v>
      </c>
      <c r="F78" s="59">
        <v>5</v>
      </c>
      <c r="G78" s="72">
        <v>2</v>
      </c>
      <c r="Z78" s="9"/>
    </row>
    <row r="79" spans="2:26" ht="17" thickBot="1" x14ac:dyDescent="0.25">
      <c r="B79" s="14" t="s">
        <v>27</v>
      </c>
      <c r="C79" s="81"/>
      <c r="D79" s="68"/>
      <c r="E79" s="65">
        <v>261.4976742705328</v>
      </c>
      <c r="F79" s="61">
        <v>101733</v>
      </c>
      <c r="G79" s="23">
        <v>353</v>
      </c>
      <c r="Z79" s="9"/>
    </row>
    <row r="80" spans="2:26" x14ac:dyDescent="0.2">
      <c r="B80" s="15"/>
      <c r="C80" s="73" t="s">
        <v>1</v>
      </c>
      <c r="D80" s="74"/>
      <c r="E80" s="86">
        <v>242.40633985958979</v>
      </c>
      <c r="F80" s="90">
        <v>46276</v>
      </c>
      <c r="G80" s="25">
        <v>279</v>
      </c>
      <c r="Z80" s="9"/>
    </row>
    <row r="81" spans="2:26" x14ac:dyDescent="0.2">
      <c r="B81" s="15"/>
      <c r="C81" s="75"/>
      <c r="D81" s="76" t="s">
        <v>31</v>
      </c>
      <c r="E81" s="48">
        <v>8.2467589527368502E-4</v>
      </c>
      <c r="F81" s="58">
        <v>3</v>
      </c>
      <c r="G81" s="22">
        <v>1</v>
      </c>
      <c r="Z81" s="9"/>
    </row>
    <row r="82" spans="2:26" x14ac:dyDescent="0.2">
      <c r="B82" s="15"/>
      <c r="C82" s="75"/>
      <c r="D82" s="76" t="s">
        <v>33</v>
      </c>
      <c r="E82" s="48">
        <v>9.7776658115908397</v>
      </c>
      <c r="F82" s="58">
        <v>3642</v>
      </c>
      <c r="G82" s="22">
        <v>61</v>
      </c>
      <c r="Z82" s="9"/>
    </row>
    <row r="83" spans="2:26" x14ac:dyDescent="0.2">
      <c r="B83" s="15"/>
      <c r="C83" s="75"/>
      <c r="D83" s="76" t="s">
        <v>37</v>
      </c>
      <c r="E83" s="48">
        <v>3.7113271653652101E-2</v>
      </c>
      <c r="F83" s="58">
        <v>4</v>
      </c>
      <c r="G83" s="22">
        <v>1</v>
      </c>
      <c r="Z83" s="9"/>
    </row>
    <row r="84" spans="2:26" x14ac:dyDescent="0.2">
      <c r="B84" s="15"/>
      <c r="C84" s="75"/>
      <c r="D84" s="76" t="s">
        <v>39</v>
      </c>
      <c r="E84" s="48">
        <v>152.92503658123309</v>
      </c>
      <c r="F84" s="58">
        <v>24202</v>
      </c>
      <c r="G84" s="22">
        <v>81</v>
      </c>
      <c r="Z84" s="9"/>
    </row>
    <row r="85" spans="2:26" x14ac:dyDescent="0.2">
      <c r="B85" s="15"/>
      <c r="C85" s="75"/>
      <c r="D85" s="76" t="s">
        <v>41</v>
      </c>
      <c r="E85" s="48">
        <v>6.4277643561363202</v>
      </c>
      <c r="F85" s="58">
        <v>980</v>
      </c>
      <c r="G85" s="22">
        <v>6</v>
      </c>
      <c r="Z85" s="9"/>
    </row>
    <row r="86" spans="2:26" x14ac:dyDescent="0.2">
      <c r="B86" s="15"/>
      <c r="C86" s="75"/>
      <c r="D86" s="76" t="s">
        <v>149</v>
      </c>
      <c r="E86" s="48">
        <v>70.273734595626507</v>
      </c>
      <c r="F86" s="58">
        <v>14389</v>
      </c>
      <c r="G86" s="22">
        <v>75</v>
      </c>
      <c r="Z86" s="9"/>
    </row>
    <row r="87" spans="2:26" x14ac:dyDescent="0.2">
      <c r="B87" s="15"/>
      <c r="C87" s="75"/>
      <c r="D87" s="76" t="s">
        <v>152</v>
      </c>
      <c r="E87" s="48">
        <v>2.9642005674540899</v>
      </c>
      <c r="F87" s="58">
        <v>3056</v>
      </c>
      <c r="G87" s="22">
        <v>54</v>
      </c>
      <c r="Z87" s="9"/>
    </row>
    <row r="88" spans="2:26" x14ac:dyDescent="0.2">
      <c r="B88" s="15"/>
      <c r="C88" s="77" t="s">
        <v>2</v>
      </c>
      <c r="D88" s="74"/>
      <c r="E88" s="86">
        <v>15.417900511994876</v>
      </c>
      <c r="F88" s="90">
        <v>30365</v>
      </c>
      <c r="G88" s="25">
        <v>24</v>
      </c>
      <c r="Z88" s="9"/>
    </row>
    <row r="89" spans="2:26" x14ac:dyDescent="0.2">
      <c r="B89" s="15"/>
      <c r="C89" s="75"/>
      <c r="D89" s="76" t="s">
        <v>43</v>
      </c>
      <c r="E89" s="48">
        <v>13.964545044116601</v>
      </c>
      <c r="F89" s="58">
        <v>27085</v>
      </c>
      <c r="G89" s="22">
        <v>19</v>
      </c>
      <c r="Z89" s="9"/>
    </row>
    <row r="90" spans="2:26" x14ac:dyDescent="0.2">
      <c r="B90" s="15"/>
      <c r="C90" s="75"/>
      <c r="D90" s="76" t="s">
        <v>45</v>
      </c>
      <c r="E90" s="48">
        <v>1.4533554678782747</v>
      </c>
      <c r="F90" s="58">
        <v>3280</v>
      </c>
      <c r="G90" s="22">
        <v>5</v>
      </c>
      <c r="Z90" s="9"/>
    </row>
    <row r="91" spans="2:26" x14ac:dyDescent="0.2">
      <c r="B91" s="15"/>
      <c r="C91" s="77" t="s">
        <v>3</v>
      </c>
      <c r="D91" s="74"/>
      <c r="E91" s="69">
        <v>3.6734338989481268</v>
      </c>
      <c r="F91" s="88">
        <v>25092</v>
      </c>
      <c r="G91" s="26">
        <v>50</v>
      </c>
      <c r="Z91" s="9"/>
    </row>
    <row r="92" spans="2:26" x14ac:dyDescent="0.2">
      <c r="B92" s="15"/>
      <c r="C92" s="75"/>
      <c r="D92" s="76" t="s">
        <v>47</v>
      </c>
      <c r="E92" s="48">
        <v>6.0527636669576099E-2</v>
      </c>
      <c r="F92" s="58">
        <v>2171</v>
      </c>
      <c r="G92" s="22">
        <v>11</v>
      </c>
      <c r="Z92" s="9"/>
    </row>
    <row r="93" spans="2:26" x14ac:dyDescent="0.2">
      <c r="B93" s="15"/>
      <c r="C93" s="75"/>
      <c r="D93" s="76" t="s">
        <v>49</v>
      </c>
      <c r="E93" s="48">
        <v>0.33694496937096102</v>
      </c>
      <c r="F93" s="58">
        <v>11057</v>
      </c>
      <c r="G93" s="22">
        <v>15</v>
      </c>
      <c r="Z93" s="9"/>
    </row>
    <row r="94" spans="2:26" ht="17" thickBot="1" x14ac:dyDescent="0.25">
      <c r="B94" s="15"/>
      <c r="C94" s="75"/>
      <c r="D94" s="76" t="s">
        <v>139</v>
      </c>
      <c r="E94" s="49">
        <v>3.2759612929075899</v>
      </c>
      <c r="F94" s="60">
        <v>11864</v>
      </c>
      <c r="G94" s="22">
        <v>24</v>
      </c>
      <c r="Z94" s="9"/>
    </row>
    <row r="95" spans="2:26" ht="17" thickBot="1" x14ac:dyDescent="0.25">
      <c r="B95" s="16" t="s">
        <v>4</v>
      </c>
      <c r="C95" s="17"/>
      <c r="D95" s="57"/>
      <c r="E95" s="65">
        <v>809061.69320482935</v>
      </c>
      <c r="F95" s="61">
        <v>148917322</v>
      </c>
      <c r="G95" s="23">
        <v>1613</v>
      </c>
      <c r="Z95" s="9"/>
    </row>
    <row r="96" spans="2:26" x14ac:dyDescent="0.2">
      <c r="G96" s="27">
        <f>SUM(G7,G25,G40,G55,G68,G79)</f>
        <v>1610</v>
      </c>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4B8D-3727-7345-B989-7A3B92167B31}">
  <dimension ref="B1:AO370"/>
  <sheetViews>
    <sheetView workbookViewId="0"/>
  </sheetViews>
  <sheetFormatPr baseColWidth="10" defaultRowHeight="16" x14ac:dyDescent="0.2"/>
  <cols>
    <col min="3" max="3" width="34.140625" bestFit="1" customWidth="1"/>
    <col min="4" max="4" width="19.42578125" bestFit="1" customWidth="1"/>
    <col min="5" max="5" width="14.42578125" bestFit="1" customWidth="1"/>
    <col min="6" max="6" width="14.7109375" style="234" bestFit="1" customWidth="1"/>
    <col min="7" max="7" width="11" style="234" bestFit="1" customWidth="1"/>
  </cols>
  <sheetData>
    <row r="1" spans="2:41" s="9" customFormat="1" x14ac:dyDescent="0.2">
      <c r="B1" s="8"/>
      <c r="F1" s="27"/>
      <c r="G1" s="27"/>
      <c r="I1" s="6"/>
      <c r="AO1" s="31"/>
    </row>
    <row r="2" spans="2:41" s="9" customFormat="1" x14ac:dyDescent="0.2">
      <c r="B2" s="8"/>
      <c r="F2" s="27"/>
      <c r="G2" s="27"/>
      <c r="I2" s="6"/>
      <c r="AO2" s="31"/>
    </row>
    <row r="3" spans="2:41" s="9" customFormat="1" ht="23" x14ac:dyDescent="0.2">
      <c r="B3" s="281" t="s">
        <v>159</v>
      </c>
      <c r="C3" s="281"/>
      <c r="D3" s="281"/>
      <c r="E3" s="281"/>
      <c r="F3" s="281"/>
      <c r="G3" s="281"/>
      <c r="H3" s="93"/>
      <c r="I3" s="94"/>
      <c r="J3" s="93"/>
      <c r="K3" s="93"/>
      <c r="L3" s="93"/>
      <c r="M3" s="93"/>
      <c r="N3" s="93"/>
      <c r="O3" s="93"/>
      <c r="AO3" s="31"/>
    </row>
    <row r="4" spans="2:41" s="9" customFormat="1" ht="18" x14ac:dyDescent="0.2">
      <c r="B4" s="280" t="s">
        <v>165</v>
      </c>
      <c r="C4" s="280"/>
      <c r="D4" s="280"/>
      <c r="E4" s="280"/>
      <c r="F4" s="280"/>
      <c r="G4" s="280"/>
      <c r="I4" s="6"/>
      <c r="AO4" s="31"/>
    </row>
    <row r="5" spans="2:41" s="9" customFormat="1" x14ac:dyDescent="0.2">
      <c r="B5" s="6"/>
      <c r="F5" s="27"/>
      <c r="G5" s="27"/>
      <c r="AH5" s="31"/>
    </row>
    <row r="6" spans="2:41" s="12" customFormat="1" ht="17" thickBot="1" x14ac:dyDescent="0.25">
      <c r="F6" s="231"/>
      <c r="G6" s="231"/>
    </row>
    <row r="7" spans="2:41" s="6" customFormat="1" ht="17" thickBot="1" x14ac:dyDescent="0.25">
      <c r="B7" s="5" t="s">
        <v>28</v>
      </c>
      <c r="C7" s="188" t="s">
        <v>52</v>
      </c>
      <c r="D7" s="87" t="s">
        <v>53</v>
      </c>
      <c r="E7" s="16" t="s">
        <v>154</v>
      </c>
      <c r="F7" s="182" t="s">
        <v>155</v>
      </c>
      <c r="G7" s="182" t="s">
        <v>156</v>
      </c>
    </row>
    <row r="8" spans="2:41" s="9" customFormat="1" ht="17" thickBot="1" x14ac:dyDescent="0.25">
      <c r="B8" s="190" t="s">
        <v>1</v>
      </c>
      <c r="C8" s="191"/>
      <c r="D8" s="191"/>
      <c r="E8" s="192">
        <v>781007.00387129281</v>
      </c>
      <c r="F8" s="232">
        <v>133313679</v>
      </c>
      <c r="G8" s="233">
        <v>1282</v>
      </c>
    </row>
    <row r="9" spans="2:41" s="2" customFormat="1" ht="18" thickTop="1" thickBot="1" x14ac:dyDescent="0.25">
      <c r="B9" s="235"/>
      <c r="C9" s="265" t="s">
        <v>31</v>
      </c>
      <c r="D9" s="243"/>
      <c r="E9" s="244">
        <v>3.0238116160035051E-3</v>
      </c>
      <c r="F9" s="245">
        <v>11</v>
      </c>
      <c r="G9" s="246">
        <v>2</v>
      </c>
    </row>
    <row r="10" spans="2:41" x14ac:dyDescent="0.2">
      <c r="B10" s="236"/>
      <c r="D10" s="247" t="s">
        <v>70</v>
      </c>
      <c r="E10" s="247">
        <v>2.1991357207298201E-3</v>
      </c>
      <c r="F10" s="248">
        <v>8</v>
      </c>
      <c r="G10" s="20">
        <v>1</v>
      </c>
    </row>
    <row r="11" spans="2:41" ht="17" thickBot="1" x14ac:dyDescent="0.25">
      <c r="B11" s="236"/>
      <c r="D11" s="255" t="s">
        <v>59</v>
      </c>
      <c r="E11" s="255">
        <v>8.2467589527368502E-4</v>
      </c>
      <c r="F11" s="256">
        <v>3</v>
      </c>
      <c r="G11" s="71">
        <v>1</v>
      </c>
    </row>
    <row r="12" spans="2:41" ht="17" thickBot="1" x14ac:dyDescent="0.25">
      <c r="B12" s="236"/>
      <c r="C12" s="266" t="s">
        <v>33</v>
      </c>
      <c r="D12" s="271"/>
      <c r="E12" s="272">
        <v>8297.4534823745289</v>
      </c>
      <c r="F12" s="273">
        <v>190177</v>
      </c>
      <c r="G12" s="274">
        <v>181</v>
      </c>
    </row>
    <row r="13" spans="2:41" x14ac:dyDescent="0.2">
      <c r="B13" s="236"/>
      <c r="D13" s="247" t="s">
        <v>61</v>
      </c>
      <c r="E13" s="247">
        <v>2.38846987485885E-4</v>
      </c>
      <c r="F13" s="248">
        <v>8</v>
      </c>
      <c r="G13" s="20">
        <v>1</v>
      </c>
    </row>
    <row r="14" spans="2:41" x14ac:dyDescent="0.2">
      <c r="B14" s="236"/>
      <c r="D14" s="247" t="s">
        <v>63</v>
      </c>
      <c r="E14" s="247">
        <v>8.1233214586973104E-4</v>
      </c>
      <c r="F14" s="248">
        <v>33</v>
      </c>
      <c r="G14" s="20">
        <v>1</v>
      </c>
    </row>
    <row r="15" spans="2:41" x14ac:dyDescent="0.2">
      <c r="B15" s="236"/>
      <c r="D15" s="247" t="s">
        <v>64</v>
      </c>
      <c r="E15" s="247">
        <v>9.31457616388797E-4</v>
      </c>
      <c r="F15" s="248">
        <v>15</v>
      </c>
      <c r="G15" s="20">
        <v>1</v>
      </c>
    </row>
    <row r="16" spans="2:41" x14ac:dyDescent="0.2">
      <c r="B16" s="236"/>
      <c r="D16" s="247" t="s">
        <v>67</v>
      </c>
      <c r="E16" s="247">
        <v>7.5595825910568205E-4</v>
      </c>
      <c r="F16" s="248">
        <v>20</v>
      </c>
      <c r="G16" s="20">
        <v>3</v>
      </c>
    </row>
    <row r="17" spans="2:7" x14ac:dyDescent="0.2">
      <c r="B17" s="236"/>
      <c r="D17" s="247" t="s">
        <v>68</v>
      </c>
      <c r="E17" s="247">
        <v>2.674741772934786</v>
      </c>
      <c r="F17" s="248">
        <v>114</v>
      </c>
      <c r="G17" s="20">
        <v>9</v>
      </c>
    </row>
    <row r="18" spans="2:7" x14ac:dyDescent="0.2">
      <c r="B18" s="236"/>
      <c r="D18" s="247" t="s">
        <v>69</v>
      </c>
      <c r="E18" s="247">
        <v>0.24889559391885968</v>
      </c>
      <c r="F18" s="248">
        <v>49</v>
      </c>
      <c r="G18" s="20">
        <v>2</v>
      </c>
    </row>
    <row r="19" spans="2:7" x14ac:dyDescent="0.2">
      <c r="B19" s="236"/>
      <c r="D19" s="247" t="s">
        <v>70</v>
      </c>
      <c r="E19" s="247">
        <v>176.40295153763046</v>
      </c>
      <c r="F19" s="248">
        <v>1594</v>
      </c>
      <c r="G19" s="20">
        <v>12</v>
      </c>
    </row>
    <row r="20" spans="2:7" x14ac:dyDescent="0.2">
      <c r="B20" s="236"/>
      <c r="D20" s="247" t="s">
        <v>71</v>
      </c>
      <c r="E20" s="247">
        <v>7.4117444455623605E-4</v>
      </c>
      <c r="F20" s="248">
        <v>14</v>
      </c>
      <c r="G20" s="20">
        <v>1</v>
      </c>
    </row>
    <row r="21" spans="2:7" x14ac:dyDescent="0.2">
      <c r="B21" s="236"/>
      <c r="D21" s="247" t="s">
        <v>191</v>
      </c>
      <c r="E21" s="247">
        <v>2.9981136322021398E-4</v>
      </c>
      <c r="F21" s="248">
        <v>12</v>
      </c>
      <c r="G21" s="20">
        <v>1</v>
      </c>
    </row>
    <row r="22" spans="2:7" x14ac:dyDescent="0.2">
      <c r="B22" s="236"/>
      <c r="D22" s="247" t="s">
        <v>75</v>
      </c>
      <c r="E22" s="247">
        <v>0.25492832995951115</v>
      </c>
      <c r="F22" s="248">
        <v>16</v>
      </c>
      <c r="G22" s="20">
        <v>2</v>
      </c>
    </row>
    <row r="23" spans="2:7" x14ac:dyDescent="0.2">
      <c r="B23" s="236"/>
      <c r="D23" s="247" t="s">
        <v>76</v>
      </c>
      <c r="E23" s="247">
        <v>4.9925129860639496E-4</v>
      </c>
      <c r="F23" s="248">
        <v>11</v>
      </c>
      <c r="G23" s="20">
        <v>2</v>
      </c>
    </row>
    <row r="24" spans="2:7" x14ac:dyDescent="0.2">
      <c r="B24" s="236"/>
      <c r="D24" s="247" t="s">
        <v>77</v>
      </c>
      <c r="E24" s="247">
        <v>2.9563318286091</v>
      </c>
      <c r="F24" s="248">
        <v>12</v>
      </c>
      <c r="G24" s="20">
        <v>1</v>
      </c>
    </row>
    <row r="25" spans="2:7" x14ac:dyDescent="0.2">
      <c r="B25" s="236"/>
      <c r="D25" s="247" t="s">
        <v>78</v>
      </c>
      <c r="E25" s="247">
        <v>1.99224613606929E-3</v>
      </c>
      <c r="F25" s="248">
        <v>30</v>
      </c>
      <c r="G25" s="20">
        <v>1</v>
      </c>
    </row>
    <row r="26" spans="2:7" x14ac:dyDescent="0.2">
      <c r="B26" s="236"/>
      <c r="D26" s="247" t="s">
        <v>54</v>
      </c>
      <c r="E26" s="247">
        <v>9.5310565084218892E-3</v>
      </c>
      <c r="F26" s="248">
        <v>337</v>
      </c>
      <c r="G26" s="20">
        <v>5</v>
      </c>
    </row>
    <row r="27" spans="2:7" x14ac:dyDescent="0.2">
      <c r="B27" s="236"/>
      <c r="D27" s="247" t="s">
        <v>80</v>
      </c>
      <c r="E27" s="247">
        <v>5325.919123886144</v>
      </c>
      <c r="F27" s="248">
        <v>24677</v>
      </c>
      <c r="G27" s="20">
        <v>5</v>
      </c>
    </row>
    <row r="28" spans="2:7" x14ac:dyDescent="0.2">
      <c r="B28" s="236"/>
      <c r="D28" s="247" t="s">
        <v>84</v>
      </c>
      <c r="E28" s="247">
        <v>2.7754530310630701E-4</v>
      </c>
      <c r="F28" s="248">
        <v>9</v>
      </c>
      <c r="G28" s="20">
        <v>1</v>
      </c>
    </row>
    <row r="29" spans="2:7" x14ac:dyDescent="0.2">
      <c r="B29" s="236"/>
      <c r="D29" s="247" t="s">
        <v>85</v>
      </c>
      <c r="E29" s="247">
        <v>69.274138331413198</v>
      </c>
      <c r="F29" s="248">
        <v>309</v>
      </c>
      <c r="G29" s="20">
        <v>3</v>
      </c>
    </row>
    <row r="30" spans="2:7" x14ac:dyDescent="0.2">
      <c r="B30" s="236"/>
      <c r="D30" s="247" t="s">
        <v>86</v>
      </c>
      <c r="E30" s="247">
        <v>13.2586052529513</v>
      </c>
      <c r="F30" s="248">
        <v>52</v>
      </c>
      <c r="G30" s="20">
        <v>1</v>
      </c>
    </row>
    <row r="31" spans="2:7" x14ac:dyDescent="0.2">
      <c r="B31" s="236"/>
      <c r="D31" s="247" t="s">
        <v>87</v>
      </c>
      <c r="E31" s="247">
        <v>2.4289730936288801E-4</v>
      </c>
      <c r="F31" s="248">
        <v>9</v>
      </c>
      <c r="G31" s="20">
        <v>1</v>
      </c>
    </row>
    <row r="32" spans="2:7" x14ac:dyDescent="0.2">
      <c r="B32" s="236"/>
      <c r="D32" s="247" t="s">
        <v>114</v>
      </c>
      <c r="E32" s="247">
        <v>2.02832743525505E-5</v>
      </c>
      <c r="F32" s="248">
        <v>23</v>
      </c>
      <c r="G32" s="20">
        <v>1</v>
      </c>
    </row>
    <row r="33" spans="2:7" x14ac:dyDescent="0.2">
      <c r="B33" s="236"/>
      <c r="D33" s="247" t="s">
        <v>55</v>
      </c>
      <c r="E33" s="247">
        <v>170.06769747659538</v>
      </c>
      <c r="F33" s="248">
        <v>962</v>
      </c>
      <c r="G33" s="20">
        <v>6</v>
      </c>
    </row>
    <row r="34" spans="2:7" x14ac:dyDescent="0.2">
      <c r="B34" s="236"/>
      <c r="D34" s="247" t="s">
        <v>89</v>
      </c>
      <c r="E34" s="247">
        <v>0.75260660331696128</v>
      </c>
      <c r="F34" s="248">
        <v>240</v>
      </c>
      <c r="G34" s="20">
        <v>8</v>
      </c>
    </row>
    <row r="35" spans="2:7" x14ac:dyDescent="0.2">
      <c r="B35" s="236"/>
      <c r="D35" s="247" t="s">
        <v>91</v>
      </c>
      <c r="E35" s="247">
        <v>2.6404485106468201E-4</v>
      </c>
      <c r="F35" s="248">
        <v>13</v>
      </c>
      <c r="G35" s="20">
        <v>1</v>
      </c>
    </row>
    <row r="36" spans="2:7" x14ac:dyDescent="0.2">
      <c r="B36" s="236"/>
      <c r="D36" s="247" t="s">
        <v>179</v>
      </c>
      <c r="E36" s="247">
        <v>2.6280339807271898E-4</v>
      </c>
      <c r="F36" s="248">
        <v>17</v>
      </c>
      <c r="G36" s="20">
        <v>1</v>
      </c>
    </row>
    <row r="37" spans="2:7" x14ac:dyDescent="0.2">
      <c r="B37" s="236"/>
      <c r="D37" s="247" t="s">
        <v>94</v>
      </c>
      <c r="E37" s="247">
        <v>2.7101226150989502E-3</v>
      </c>
      <c r="F37" s="248">
        <v>27</v>
      </c>
      <c r="G37" s="20">
        <v>2</v>
      </c>
    </row>
    <row r="38" spans="2:7" x14ac:dyDescent="0.2">
      <c r="B38" s="236"/>
      <c r="D38" s="247" t="s">
        <v>95</v>
      </c>
      <c r="E38" s="247">
        <v>2.7913879603147501E-4</v>
      </c>
      <c r="F38" s="248">
        <v>8</v>
      </c>
      <c r="G38" s="20">
        <v>1</v>
      </c>
    </row>
    <row r="39" spans="2:7" x14ac:dyDescent="0.2">
      <c r="B39" s="236"/>
      <c r="D39" s="247" t="s">
        <v>56</v>
      </c>
      <c r="E39" s="247">
        <v>7.1537401527166302E-4</v>
      </c>
      <c r="F39" s="248">
        <v>21</v>
      </c>
      <c r="G39" s="20">
        <v>1</v>
      </c>
    </row>
    <row r="40" spans="2:7" x14ac:dyDescent="0.2">
      <c r="B40" s="236"/>
      <c r="D40" s="247" t="s">
        <v>97</v>
      </c>
      <c r="E40" s="247">
        <v>2.6492308825254402E-4</v>
      </c>
      <c r="F40" s="248">
        <v>8</v>
      </c>
      <c r="G40" s="20">
        <v>1</v>
      </c>
    </row>
    <row r="41" spans="2:7" x14ac:dyDescent="0.2">
      <c r="B41" s="236"/>
      <c r="D41" s="247" t="s">
        <v>99</v>
      </c>
      <c r="E41" s="247">
        <v>2.62345187366008E-4</v>
      </c>
      <c r="F41" s="248">
        <v>12</v>
      </c>
      <c r="G41" s="20">
        <v>1</v>
      </c>
    </row>
    <row r="42" spans="2:7" x14ac:dyDescent="0.2">
      <c r="B42" s="236"/>
      <c r="D42" s="247" t="s">
        <v>57</v>
      </c>
      <c r="E42" s="247">
        <v>9.7492951899766905E-3</v>
      </c>
      <c r="F42" s="248">
        <v>133</v>
      </c>
      <c r="G42" s="20">
        <v>5</v>
      </c>
    </row>
    <row r="43" spans="2:7" x14ac:dyDescent="0.2">
      <c r="B43" s="236"/>
      <c r="D43" s="247" t="s">
        <v>58</v>
      </c>
      <c r="E43" s="247">
        <v>2.6855804026126802E-4</v>
      </c>
      <c r="F43" s="248">
        <v>12</v>
      </c>
      <c r="G43" s="20">
        <v>3</v>
      </c>
    </row>
    <row r="44" spans="2:7" ht="17" thickBot="1" x14ac:dyDescent="0.25">
      <c r="B44" s="236"/>
      <c r="D44" s="255" t="s">
        <v>59</v>
      </c>
      <c r="E44" s="255">
        <v>2535.6123422952269</v>
      </c>
      <c r="F44" s="256">
        <v>161380</v>
      </c>
      <c r="G44" s="71">
        <v>97</v>
      </c>
    </row>
    <row r="45" spans="2:7" s="2" customFormat="1" ht="17" thickBot="1" x14ac:dyDescent="0.25">
      <c r="B45" s="235"/>
      <c r="C45" s="266" t="s">
        <v>35</v>
      </c>
      <c r="D45" s="267"/>
      <c r="E45" s="268">
        <v>418.582455190828</v>
      </c>
      <c r="F45" s="269">
        <v>2947</v>
      </c>
      <c r="G45" s="270">
        <v>11</v>
      </c>
    </row>
    <row r="46" spans="2:7" x14ac:dyDescent="0.2">
      <c r="B46" s="236"/>
      <c r="D46" s="247" t="s">
        <v>80</v>
      </c>
      <c r="E46" s="247">
        <v>154.499082970432</v>
      </c>
      <c r="F46" s="248">
        <v>1047</v>
      </c>
      <c r="G46" s="20">
        <v>1</v>
      </c>
    </row>
    <row r="47" spans="2:7" x14ac:dyDescent="0.2">
      <c r="B47" s="236"/>
      <c r="D47" s="247" t="s">
        <v>89</v>
      </c>
      <c r="E47" s="247">
        <v>32.791629276238297</v>
      </c>
      <c r="F47" s="248">
        <v>213</v>
      </c>
      <c r="G47" s="20">
        <v>2</v>
      </c>
    </row>
    <row r="48" spans="2:7" x14ac:dyDescent="0.2">
      <c r="B48" s="236"/>
      <c r="D48" s="247" t="s">
        <v>57</v>
      </c>
      <c r="E48" s="247">
        <v>1.2002564370632101</v>
      </c>
      <c r="F48" s="248">
        <v>8</v>
      </c>
      <c r="G48" s="20">
        <v>1</v>
      </c>
    </row>
    <row r="49" spans="2:7" ht="17" thickBot="1" x14ac:dyDescent="0.25">
      <c r="B49" s="236"/>
      <c r="D49" s="255" t="s">
        <v>59</v>
      </c>
      <c r="E49" s="255">
        <v>230.09148650709452</v>
      </c>
      <c r="F49" s="256">
        <v>1679</v>
      </c>
      <c r="G49" s="71">
        <v>7</v>
      </c>
    </row>
    <row r="50" spans="2:7" s="2" customFormat="1" ht="17" thickBot="1" x14ac:dyDescent="0.25">
      <c r="B50" s="235"/>
      <c r="C50" s="266" t="s">
        <v>37</v>
      </c>
      <c r="D50" s="267"/>
      <c r="E50" s="268">
        <v>9.2783179134130284E-2</v>
      </c>
      <c r="F50" s="269">
        <v>10</v>
      </c>
      <c r="G50" s="270">
        <v>4</v>
      </c>
    </row>
    <row r="51" spans="2:7" x14ac:dyDescent="0.2">
      <c r="B51" s="236"/>
      <c r="D51" s="247" t="s">
        <v>70</v>
      </c>
      <c r="E51" s="247">
        <v>3.7113271653652101E-2</v>
      </c>
      <c r="F51" s="248">
        <v>4</v>
      </c>
      <c r="G51" s="20">
        <v>1</v>
      </c>
    </row>
    <row r="52" spans="2:7" x14ac:dyDescent="0.2">
      <c r="B52" s="236"/>
      <c r="D52" s="247" t="s">
        <v>54</v>
      </c>
      <c r="E52" s="247">
        <v>9.2783179134130409E-3</v>
      </c>
      <c r="F52" s="248">
        <v>1</v>
      </c>
      <c r="G52" s="20">
        <v>1</v>
      </c>
    </row>
    <row r="53" spans="2:7" x14ac:dyDescent="0.2">
      <c r="B53" s="236"/>
      <c r="D53" s="247" t="s">
        <v>89</v>
      </c>
      <c r="E53" s="247">
        <v>9.2783179134130409E-3</v>
      </c>
      <c r="F53" s="248">
        <v>1</v>
      </c>
      <c r="G53" s="20">
        <v>1</v>
      </c>
    </row>
    <row r="54" spans="2:7" ht="17" thickBot="1" x14ac:dyDescent="0.25">
      <c r="B54" s="236"/>
      <c r="D54" s="255" t="s">
        <v>59</v>
      </c>
      <c r="E54" s="255">
        <v>3.7113271653652101E-2</v>
      </c>
      <c r="F54" s="256">
        <v>4</v>
      </c>
      <c r="G54" s="71">
        <v>1</v>
      </c>
    </row>
    <row r="55" spans="2:7" s="2" customFormat="1" ht="17" thickBot="1" x14ac:dyDescent="0.25">
      <c r="B55" s="235"/>
      <c r="C55" s="266" t="s">
        <v>39</v>
      </c>
      <c r="D55" s="267"/>
      <c r="E55" s="268">
        <v>215723.36799539698</v>
      </c>
      <c r="F55" s="269">
        <v>132947228</v>
      </c>
      <c r="G55" s="270">
        <v>522</v>
      </c>
    </row>
    <row r="56" spans="2:7" x14ac:dyDescent="0.2">
      <c r="B56" s="236"/>
      <c r="D56" s="247" t="s">
        <v>61</v>
      </c>
      <c r="E56" s="247">
        <v>0.108606157824397</v>
      </c>
      <c r="F56" s="248">
        <v>105</v>
      </c>
      <c r="G56" s="20">
        <v>4</v>
      </c>
    </row>
    <row r="57" spans="2:7" x14ac:dyDescent="0.2">
      <c r="B57" s="236"/>
      <c r="D57" s="247" t="s">
        <v>62</v>
      </c>
      <c r="E57" s="247">
        <v>4.4335781596601002E-2</v>
      </c>
      <c r="F57" s="248">
        <v>13</v>
      </c>
      <c r="G57" s="20">
        <v>2</v>
      </c>
    </row>
    <row r="58" spans="2:7" x14ac:dyDescent="0.2">
      <c r="B58" s="236"/>
      <c r="D58" s="247" t="s">
        <v>63</v>
      </c>
      <c r="E58" s="247">
        <v>4.0296623483300098E-2</v>
      </c>
      <c r="F58" s="248">
        <v>8</v>
      </c>
      <c r="G58" s="20">
        <v>2</v>
      </c>
    </row>
    <row r="59" spans="2:7" x14ac:dyDescent="0.2">
      <c r="B59" s="236"/>
      <c r="D59" s="247" t="s">
        <v>64</v>
      </c>
      <c r="E59" s="247">
        <v>0.34258762281387967</v>
      </c>
      <c r="F59" s="248">
        <v>134</v>
      </c>
      <c r="G59" s="20">
        <v>5</v>
      </c>
    </row>
    <row r="60" spans="2:7" x14ac:dyDescent="0.2">
      <c r="B60" s="236"/>
      <c r="D60" s="247" t="s">
        <v>65</v>
      </c>
      <c r="E60" s="247">
        <v>1.0622584261000099E-2</v>
      </c>
      <c r="F60" s="248">
        <v>10</v>
      </c>
      <c r="G60" s="20">
        <v>1</v>
      </c>
    </row>
    <row r="61" spans="2:7" x14ac:dyDescent="0.2">
      <c r="B61" s="236"/>
      <c r="D61" s="247" t="s">
        <v>125</v>
      </c>
      <c r="E61" s="247">
        <v>4.6986970119178219E-2</v>
      </c>
      <c r="F61" s="248">
        <v>7</v>
      </c>
      <c r="G61" s="20">
        <v>2</v>
      </c>
    </row>
    <row r="62" spans="2:7" x14ac:dyDescent="0.2">
      <c r="B62" s="236"/>
      <c r="D62" s="247" t="s">
        <v>168</v>
      </c>
      <c r="E62" s="247">
        <v>2.18814238905906E-5</v>
      </c>
      <c r="F62" s="248">
        <v>4</v>
      </c>
      <c r="G62" s="20">
        <v>1</v>
      </c>
    </row>
    <row r="63" spans="2:7" x14ac:dyDescent="0.2">
      <c r="B63" s="236"/>
      <c r="D63" s="247" t="s">
        <v>66</v>
      </c>
      <c r="E63" s="247">
        <v>0.18667067401111051</v>
      </c>
      <c r="F63" s="248">
        <v>71</v>
      </c>
      <c r="G63" s="20">
        <v>3</v>
      </c>
    </row>
    <row r="64" spans="2:7" x14ac:dyDescent="0.2">
      <c r="B64" s="236"/>
      <c r="D64" s="247" t="s">
        <v>67</v>
      </c>
      <c r="E64" s="247">
        <v>1468.8868275256805</v>
      </c>
      <c r="F64" s="248">
        <v>218902</v>
      </c>
      <c r="G64" s="20">
        <v>17</v>
      </c>
    </row>
    <row r="65" spans="2:7" x14ac:dyDescent="0.2">
      <c r="B65" s="236"/>
      <c r="D65" s="247" t="s">
        <v>112</v>
      </c>
      <c r="E65" s="247">
        <v>9.3963956460356695E-3</v>
      </c>
      <c r="F65" s="248">
        <v>9</v>
      </c>
      <c r="G65" s="20">
        <v>1</v>
      </c>
    </row>
    <row r="66" spans="2:7" x14ac:dyDescent="0.2">
      <c r="B66" s="236"/>
      <c r="D66" s="247" t="s">
        <v>138</v>
      </c>
      <c r="E66" s="247">
        <v>2.6864930987357998E-5</v>
      </c>
      <c r="F66" s="248">
        <v>5</v>
      </c>
      <c r="G66" s="20">
        <v>1</v>
      </c>
    </row>
    <row r="67" spans="2:7" x14ac:dyDescent="0.2">
      <c r="B67" s="236"/>
      <c r="D67" s="247" t="s">
        <v>169</v>
      </c>
      <c r="E67" s="247">
        <v>2.141583058983082E-2</v>
      </c>
      <c r="F67" s="248">
        <v>7</v>
      </c>
      <c r="G67" s="20">
        <v>2</v>
      </c>
    </row>
    <row r="68" spans="2:7" x14ac:dyDescent="0.2">
      <c r="B68" s="236"/>
      <c r="D68" s="247" t="s">
        <v>68</v>
      </c>
      <c r="E68" s="247">
        <v>0.22439060918986697</v>
      </c>
      <c r="F68" s="248">
        <v>181</v>
      </c>
      <c r="G68" s="20">
        <v>12</v>
      </c>
    </row>
    <row r="69" spans="2:7" x14ac:dyDescent="0.2">
      <c r="B69" s="236"/>
      <c r="D69" s="247" t="s">
        <v>69</v>
      </c>
      <c r="E69" s="247">
        <v>0.30927951168268902</v>
      </c>
      <c r="F69" s="248">
        <v>179</v>
      </c>
      <c r="G69" s="20">
        <v>9</v>
      </c>
    </row>
    <row r="70" spans="2:7" x14ac:dyDescent="0.2">
      <c r="B70" s="236"/>
      <c r="D70" s="247" t="s">
        <v>70</v>
      </c>
      <c r="E70" s="247">
        <v>524.55961727723445</v>
      </c>
      <c r="F70" s="248">
        <v>63880</v>
      </c>
      <c r="G70" s="20">
        <v>42</v>
      </c>
    </row>
    <row r="71" spans="2:7" x14ac:dyDescent="0.2">
      <c r="B71" s="236"/>
      <c r="D71" s="247" t="s">
        <v>71</v>
      </c>
      <c r="E71" s="247">
        <v>0.30800702888518483</v>
      </c>
      <c r="F71" s="248">
        <v>190</v>
      </c>
      <c r="G71" s="20">
        <v>21</v>
      </c>
    </row>
    <row r="72" spans="2:7" x14ac:dyDescent="0.2">
      <c r="B72" s="236"/>
      <c r="D72" s="247" t="s">
        <v>72</v>
      </c>
      <c r="E72" s="247">
        <v>0.66639225371181898</v>
      </c>
      <c r="F72" s="248">
        <v>190</v>
      </c>
      <c r="G72" s="20">
        <v>7</v>
      </c>
    </row>
    <row r="73" spans="2:7" x14ac:dyDescent="0.2">
      <c r="B73" s="236"/>
      <c r="D73" s="247" t="s">
        <v>73</v>
      </c>
      <c r="E73" s="247">
        <v>0.12462469469755852</v>
      </c>
      <c r="F73" s="248">
        <v>115</v>
      </c>
      <c r="G73" s="20">
        <v>6</v>
      </c>
    </row>
    <row r="74" spans="2:7" x14ac:dyDescent="0.2">
      <c r="B74" s="236"/>
      <c r="D74" s="247" t="s">
        <v>74</v>
      </c>
      <c r="E74" s="247">
        <v>1.8380932509899056E-2</v>
      </c>
      <c r="F74" s="248">
        <v>68</v>
      </c>
      <c r="G74" s="20">
        <v>4</v>
      </c>
    </row>
    <row r="75" spans="2:7" x14ac:dyDescent="0.2">
      <c r="B75" s="236"/>
      <c r="D75" s="247" t="s">
        <v>75</v>
      </c>
      <c r="E75" s="247">
        <v>44.486509597860262</v>
      </c>
      <c r="F75" s="248">
        <v>7184</v>
      </c>
      <c r="G75" s="20">
        <v>8</v>
      </c>
    </row>
    <row r="76" spans="2:7" x14ac:dyDescent="0.2">
      <c r="B76" s="236"/>
      <c r="D76" s="247" t="s">
        <v>76</v>
      </c>
      <c r="E76" s="247">
        <v>0.45754336658865097</v>
      </c>
      <c r="F76" s="248">
        <v>180</v>
      </c>
      <c r="G76" s="20">
        <v>6</v>
      </c>
    </row>
    <row r="77" spans="2:7" x14ac:dyDescent="0.2">
      <c r="B77" s="236"/>
      <c r="D77" s="247" t="s">
        <v>77</v>
      </c>
      <c r="E77" s="247">
        <v>8.4015613421797752E-2</v>
      </c>
      <c r="F77" s="248">
        <v>65</v>
      </c>
      <c r="G77" s="20">
        <v>5</v>
      </c>
    </row>
    <row r="78" spans="2:7" x14ac:dyDescent="0.2">
      <c r="B78" s="236"/>
      <c r="D78" s="247" t="s">
        <v>78</v>
      </c>
      <c r="E78" s="247">
        <v>0.24262896832078595</v>
      </c>
      <c r="F78" s="248">
        <v>76</v>
      </c>
      <c r="G78" s="20">
        <v>2</v>
      </c>
    </row>
    <row r="79" spans="2:7" x14ac:dyDescent="0.2">
      <c r="B79" s="236"/>
      <c r="D79" s="247" t="s">
        <v>54</v>
      </c>
      <c r="E79" s="247">
        <v>0.184333696961402</v>
      </c>
      <c r="F79" s="248">
        <v>1769</v>
      </c>
      <c r="G79" s="20">
        <v>10</v>
      </c>
    </row>
    <row r="80" spans="2:7" x14ac:dyDescent="0.2">
      <c r="B80" s="236"/>
      <c r="D80" s="247" t="s">
        <v>80</v>
      </c>
      <c r="E80" s="247">
        <v>25.02909744810303</v>
      </c>
      <c r="F80" s="248">
        <v>4437</v>
      </c>
      <c r="G80" s="20">
        <v>21</v>
      </c>
    </row>
    <row r="81" spans="2:7" x14ac:dyDescent="0.2">
      <c r="B81" s="236"/>
      <c r="D81" s="247" t="s">
        <v>81</v>
      </c>
      <c r="E81" s="247">
        <v>1.02967023849487E-5</v>
      </c>
      <c r="F81" s="248">
        <v>2</v>
      </c>
      <c r="G81" s="20">
        <v>1</v>
      </c>
    </row>
    <row r="82" spans="2:7" x14ac:dyDescent="0.2">
      <c r="B82" s="236"/>
      <c r="D82" s="247" t="s">
        <v>82</v>
      </c>
      <c r="E82" s="247">
        <v>0.34114692080765846</v>
      </c>
      <c r="F82" s="248">
        <v>136</v>
      </c>
      <c r="G82" s="20">
        <v>5</v>
      </c>
    </row>
    <row r="83" spans="2:7" x14ac:dyDescent="0.2">
      <c r="B83" s="236"/>
      <c r="D83" s="247" t="s">
        <v>83</v>
      </c>
      <c r="E83" s="247">
        <v>0.24309020768851</v>
      </c>
      <c r="F83" s="248">
        <v>68</v>
      </c>
      <c r="G83" s="20">
        <v>1</v>
      </c>
    </row>
    <row r="84" spans="2:7" x14ac:dyDescent="0.2">
      <c r="B84" s="236"/>
      <c r="D84" s="247" t="s">
        <v>84</v>
      </c>
      <c r="E84" s="247">
        <v>3.4375232644379097E-2</v>
      </c>
      <c r="F84" s="248">
        <v>28</v>
      </c>
      <c r="G84" s="20">
        <v>2</v>
      </c>
    </row>
    <row r="85" spans="2:7" x14ac:dyDescent="0.2">
      <c r="B85" s="236"/>
      <c r="D85" s="247" t="s">
        <v>86</v>
      </c>
      <c r="E85" s="247">
        <v>5.3979972377419298E-2</v>
      </c>
      <c r="F85" s="248">
        <v>17</v>
      </c>
      <c r="G85" s="20">
        <v>2</v>
      </c>
    </row>
    <row r="86" spans="2:7" x14ac:dyDescent="0.2">
      <c r="B86" s="236"/>
      <c r="D86" s="247" t="s">
        <v>87</v>
      </c>
      <c r="E86" s="247">
        <v>10.608876008540308</v>
      </c>
      <c r="F86" s="248">
        <v>2487</v>
      </c>
      <c r="G86" s="20">
        <v>6</v>
      </c>
    </row>
    <row r="87" spans="2:7" x14ac:dyDescent="0.2">
      <c r="B87" s="236"/>
      <c r="D87" s="247" t="s">
        <v>114</v>
      </c>
      <c r="E87" s="247">
        <v>2.0410028286278199E-2</v>
      </c>
      <c r="F87" s="248">
        <v>45</v>
      </c>
      <c r="G87" s="20">
        <v>3</v>
      </c>
    </row>
    <row r="88" spans="2:7" x14ac:dyDescent="0.2">
      <c r="B88" s="236"/>
      <c r="D88" s="247" t="s">
        <v>55</v>
      </c>
      <c r="E88" s="247">
        <v>0.64228508993983224</v>
      </c>
      <c r="F88" s="248">
        <v>246</v>
      </c>
      <c r="G88" s="20">
        <v>11</v>
      </c>
    </row>
    <row r="89" spans="2:7" x14ac:dyDescent="0.2">
      <c r="B89" s="236"/>
      <c r="D89" s="247" t="s">
        <v>126</v>
      </c>
      <c r="E89" s="247">
        <v>6.5450089052319499E-2</v>
      </c>
      <c r="F89" s="248">
        <v>20</v>
      </c>
      <c r="G89" s="20">
        <v>1</v>
      </c>
    </row>
    <row r="90" spans="2:7" x14ac:dyDescent="0.2">
      <c r="B90" s="236"/>
      <c r="D90" s="247" t="s">
        <v>192</v>
      </c>
      <c r="E90" s="247">
        <v>3.0315481126308401E-5</v>
      </c>
      <c r="F90" s="248">
        <v>6</v>
      </c>
      <c r="G90" s="20">
        <v>1</v>
      </c>
    </row>
    <row r="91" spans="2:7" x14ac:dyDescent="0.2">
      <c r="B91" s="236"/>
      <c r="D91" s="247" t="s">
        <v>88</v>
      </c>
      <c r="E91" s="247">
        <v>1.6936164349317499E-2</v>
      </c>
      <c r="F91" s="248">
        <v>12</v>
      </c>
      <c r="G91" s="20">
        <v>1</v>
      </c>
    </row>
    <row r="92" spans="2:7" x14ac:dyDescent="0.2">
      <c r="B92" s="236"/>
      <c r="D92" s="247" t="s">
        <v>89</v>
      </c>
      <c r="E92" s="247">
        <v>0.72872573044151034</v>
      </c>
      <c r="F92" s="248">
        <v>357</v>
      </c>
      <c r="G92" s="20">
        <v>10</v>
      </c>
    </row>
    <row r="93" spans="2:7" x14ac:dyDescent="0.2">
      <c r="B93" s="236"/>
      <c r="D93" s="247" t="s">
        <v>90</v>
      </c>
      <c r="E93" s="247">
        <v>0.1387445265427226</v>
      </c>
      <c r="F93" s="248">
        <v>49</v>
      </c>
      <c r="G93" s="20">
        <v>3</v>
      </c>
    </row>
    <row r="94" spans="2:7" x14ac:dyDescent="0.2">
      <c r="B94" s="236"/>
      <c r="D94" s="247" t="s">
        <v>177</v>
      </c>
      <c r="E94" s="247">
        <v>1.31066096946597E-2</v>
      </c>
      <c r="F94" s="248">
        <v>13</v>
      </c>
      <c r="G94" s="20">
        <v>3</v>
      </c>
    </row>
    <row r="95" spans="2:7" x14ac:dyDescent="0.2">
      <c r="B95" s="236"/>
      <c r="D95" s="247" t="s">
        <v>178</v>
      </c>
      <c r="E95" s="247">
        <v>0.44633031263947298</v>
      </c>
      <c r="F95" s="248">
        <v>196</v>
      </c>
      <c r="G95" s="20">
        <v>4</v>
      </c>
    </row>
    <row r="96" spans="2:7" x14ac:dyDescent="0.2">
      <c r="B96" s="236"/>
      <c r="D96" s="247" t="s">
        <v>91</v>
      </c>
      <c r="E96" s="247">
        <v>0.54989030398428373</v>
      </c>
      <c r="F96" s="248">
        <v>135</v>
      </c>
      <c r="G96" s="20">
        <v>10</v>
      </c>
    </row>
    <row r="97" spans="2:7" x14ac:dyDescent="0.2">
      <c r="B97" s="236"/>
      <c r="D97" s="247" t="s">
        <v>179</v>
      </c>
      <c r="E97" s="247">
        <v>9.1537414118647506E-3</v>
      </c>
      <c r="F97" s="248">
        <v>3</v>
      </c>
      <c r="G97" s="20">
        <v>1</v>
      </c>
    </row>
    <row r="98" spans="2:7" x14ac:dyDescent="0.2">
      <c r="B98" s="236"/>
      <c r="D98" s="247" t="s">
        <v>118</v>
      </c>
      <c r="E98" s="247">
        <v>1.3643763028085201E-2</v>
      </c>
      <c r="F98" s="248">
        <v>4</v>
      </c>
      <c r="G98" s="20">
        <v>1</v>
      </c>
    </row>
    <row r="99" spans="2:7" x14ac:dyDescent="0.2">
      <c r="B99" s="236"/>
      <c r="D99" s="247" t="s">
        <v>93</v>
      </c>
      <c r="E99" s="247">
        <v>1.9628349691629399E-2</v>
      </c>
      <c r="F99" s="248">
        <v>29</v>
      </c>
      <c r="G99" s="20">
        <v>2</v>
      </c>
    </row>
    <row r="100" spans="2:7" x14ac:dyDescent="0.2">
      <c r="B100" s="236"/>
      <c r="D100" s="247" t="s">
        <v>94</v>
      </c>
      <c r="E100" s="247">
        <v>3.1772355549037401E-2</v>
      </c>
      <c r="F100" s="248">
        <v>29</v>
      </c>
      <c r="G100" s="20">
        <v>2</v>
      </c>
    </row>
    <row r="101" spans="2:7" x14ac:dyDescent="0.2">
      <c r="B101" s="236"/>
      <c r="D101" s="247" t="s">
        <v>180</v>
      </c>
      <c r="E101" s="247">
        <v>1.18941329419612E-2</v>
      </c>
      <c r="F101" s="248">
        <v>2</v>
      </c>
      <c r="G101" s="20">
        <v>1</v>
      </c>
    </row>
    <row r="102" spans="2:7" x14ac:dyDescent="0.2">
      <c r="B102" s="236"/>
      <c r="D102" s="247" t="s">
        <v>95</v>
      </c>
      <c r="E102" s="247">
        <v>1.0048336610198012</v>
      </c>
      <c r="F102" s="248">
        <v>472</v>
      </c>
      <c r="G102" s="20">
        <v>27</v>
      </c>
    </row>
    <row r="103" spans="2:7" x14ac:dyDescent="0.2">
      <c r="B103" s="236"/>
      <c r="D103" s="247" t="s">
        <v>96</v>
      </c>
      <c r="E103" s="247">
        <v>2.49158069491386E-2</v>
      </c>
      <c r="F103" s="248">
        <v>20</v>
      </c>
      <c r="G103" s="20">
        <v>1</v>
      </c>
    </row>
    <row r="104" spans="2:7" x14ac:dyDescent="0.2">
      <c r="B104" s="236"/>
      <c r="D104" s="247" t="s">
        <v>56</v>
      </c>
      <c r="E104" s="247">
        <v>0.179746333509683</v>
      </c>
      <c r="F104" s="248">
        <v>45</v>
      </c>
      <c r="G104" s="20">
        <v>2</v>
      </c>
    </row>
    <row r="105" spans="2:7" x14ac:dyDescent="0.2">
      <c r="B105" s="236"/>
      <c r="D105" s="247" t="s">
        <v>119</v>
      </c>
      <c r="E105" s="247">
        <v>2.82875020056962E-2</v>
      </c>
      <c r="F105" s="248">
        <v>20</v>
      </c>
      <c r="G105" s="20">
        <v>2</v>
      </c>
    </row>
    <row r="106" spans="2:7" x14ac:dyDescent="0.2">
      <c r="B106" s="236"/>
      <c r="D106" s="247" t="s">
        <v>181</v>
      </c>
      <c r="E106" s="247">
        <v>6.8498677574098096E-2</v>
      </c>
      <c r="F106" s="248">
        <v>25</v>
      </c>
      <c r="G106" s="20">
        <v>1</v>
      </c>
    </row>
    <row r="107" spans="2:7" x14ac:dyDescent="0.2">
      <c r="B107" s="236"/>
      <c r="D107" s="247" t="s">
        <v>120</v>
      </c>
      <c r="E107" s="247">
        <v>0.13682128395885201</v>
      </c>
      <c r="F107" s="248">
        <v>53</v>
      </c>
      <c r="G107" s="20">
        <v>3</v>
      </c>
    </row>
    <row r="108" spans="2:7" x14ac:dyDescent="0.2">
      <c r="B108" s="236"/>
      <c r="D108" s="247" t="s">
        <v>97</v>
      </c>
      <c r="E108" s="247">
        <v>0.40017921570688397</v>
      </c>
      <c r="F108" s="248">
        <v>120</v>
      </c>
      <c r="G108" s="20">
        <v>9</v>
      </c>
    </row>
    <row r="109" spans="2:7" x14ac:dyDescent="0.2">
      <c r="B109" s="236"/>
      <c r="D109" s="247" t="s">
        <v>98</v>
      </c>
      <c r="E109" s="247">
        <v>8.3683971315622295E-3</v>
      </c>
      <c r="F109" s="248">
        <v>11</v>
      </c>
      <c r="G109" s="20">
        <v>1</v>
      </c>
    </row>
    <row r="110" spans="2:7" x14ac:dyDescent="0.2">
      <c r="B110" s="236"/>
      <c r="D110" s="247" t="s">
        <v>183</v>
      </c>
      <c r="E110" s="247">
        <v>1.0562129318714099E-5</v>
      </c>
      <c r="F110" s="248">
        <v>2</v>
      </c>
      <c r="G110" s="20">
        <v>1</v>
      </c>
    </row>
    <row r="111" spans="2:7" x14ac:dyDescent="0.2">
      <c r="B111" s="236"/>
      <c r="D111" s="247" t="s">
        <v>99</v>
      </c>
      <c r="E111" s="247">
        <v>3.4031249582767403E-2</v>
      </c>
      <c r="F111" s="248">
        <v>25</v>
      </c>
      <c r="G111" s="20">
        <v>4</v>
      </c>
    </row>
    <row r="112" spans="2:7" x14ac:dyDescent="0.2">
      <c r="B112" s="236"/>
      <c r="D112" s="247" t="s">
        <v>100</v>
      </c>
      <c r="E112" s="247">
        <v>39.513969887047935</v>
      </c>
      <c r="F112" s="248">
        <v>6223</v>
      </c>
      <c r="G112" s="20">
        <v>3</v>
      </c>
    </row>
    <row r="113" spans="2:7" x14ac:dyDescent="0.2">
      <c r="B113" s="236"/>
      <c r="D113" s="247" t="s">
        <v>57</v>
      </c>
      <c r="E113" s="247">
        <v>0.73948081862181403</v>
      </c>
      <c r="F113" s="248">
        <v>335</v>
      </c>
      <c r="G113" s="20">
        <v>7</v>
      </c>
    </row>
    <row r="114" spans="2:7" x14ac:dyDescent="0.2">
      <c r="B114" s="236"/>
      <c r="D114" s="247" t="s">
        <v>121</v>
      </c>
      <c r="E114" s="247">
        <v>7.5823254883289302E-3</v>
      </c>
      <c r="F114" s="248">
        <v>5</v>
      </c>
      <c r="G114" s="20">
        <v>1</v>
      </c>
    </row>
    <row r="115" spans="2:7" x14ac:dyDescent="0.2">
      <c r="B115" s="236"/>
      <c r="D115" s="247" t="s">
        <v>101</v>
      </c>
      <c r="E115" s="247">
        <v>8.4631409496068913E-2</v>
      </c>
      <c r="F115" s="248">
        <v>59</v>
      </c>
      <c r="G115" s="20">
        <v>7</v>
      </c>
    </row>
    <row r="116" spans="2:7" x14ac:dyDescent="0.2">
      <c r="B116" s="236"/>
      <c r="D116" s="247" t="s">
        <v>122</v>
      </c>
      <c r="E116" s="247">
        <v>2.0390288997441455</v>
      </c>
      <c r="F116" s="248">
        <v>180</v>
      </c>
      <c r="G116" s="20">
        <v>7</v>
      </c>
    </row>
    <row r="117" spans="2:7" x14ac:dyDescent="0.2">
      <c r="B117" s="236"/>
      <c r="D117" s="247" t="s">
        <v>102</v>
      </c>
      <c r="E117" s="247">
        <v>8.2474120892584296E-2</v>
      </c>
      <c r="F117" s="248">
        <v>47</v>
      </c>
      <c r="G117" s="20">
        <v>3</v>
      </c>
    </row>
    <row r="118" spans="2:7" x14ac:dyDescent="0.2">
      <c r="B118" s="236"/>
      <c r="D118" s="247" t="s">
        <v>124</v>
      </c>
      <c r="E118" s="247">
        <v>0.21384667046368022</v>
      </c>
      <c r="F118" s="248">
        <v>127</v>
      </c>
      <c r="G118" s="20">
        <v>7</v>
      </c>
    </row>
    <row r="119" spans="2:7" x14ac:dyDescent="0.2">
      <c r="B119" s="236"/>
      <c r="D119" s="247" t="s">
        <v>103</v>
      </c>
      <c r="E119" s="247">
        <v>2.9829597100615501E-2</v>
      </c>
      <c r="F119" s="248">
        <v>6</v>
      </c>
      <c r="G119" s="20">
        <v>1</v>
      </c>
    </row>
    <row r="120" spans="2:7" x14ac:dyDescent="0.2">
      <c r="B120" s="236"/>
      <c r="D120" s="247" t="s">
        <v>104</v>
      </c>
      <c r="E120" s="247">
        <v>0.31126276683062304</v>
      </c>
      <c r="F120" s="248">
        <v>126</v>
      </c>
      <c r="G120" s="20">
        <v>5</v>
      </c>
    </row>
    <row r="121" spans="2:7" x14ac:dyDescent="0.2">
      <c r="B121" s="236"/>
      <c r="D121" s="247" t="s">
        <v>105</v>
      </c>
      <c r="E121" s="247">
        <v>3.4605399705469601E-2</v>
      </c>
      <c r="F121" s="248">
        <v>21</v>
      </c>
      <c r="G121" s="20">
        <v>4</v>
      </c>
    </row>
    <row r="122" spans="2:7" x14ac:dyDescent="0.2">
      <c r="B122" s="236"/>
      <c r="D122" s="247" t="s">
        <v>106</v>
      </c>
      <c r="E122" s="247">
        <v>1.5915667638182598E-2</v>
      </c>
      <c r="F122" s="248">
        <v>2</v>
      </c>
      <c r="G122" s="20">
        <v>1</v>
      </c>
    </row>
    <row r="123" spans="2:7" x14ac:dyDescent="0.2">
      <c r="B123" s="236"/>
      <c r="D123" s="247" t="s">
        <v>58</v>
      </c>
      <c r="E123" s="247">
        <v>0.41391858458518932</v>
      </c>
      <c r="F123" s="248">
        <v>260</v>
      </c>
      <c r="G123" s="20">
        <v>10</v>
      </c>
    </row>
    <row r="124" spans="2:7" x14ac:dyDescent="0.2">
      <c r="B124" s="236"/>
      <c r="D124" s="247" t="s">
        <v>59</v>
      </c>
      <c r="E124" s="247">
        <v>213597.18112076054</v>
      </c>
      <c r="F124" s="248">
        <v>132637203</v>
      </c>
      <c r="G124" s="20">
        <v>134</v>
      </c>
    </row>
    <row r="125" spans="2:7" x14ac:dyDescent="0.2">
      <c r="B125" s="236"/>
      <c r="D125" s="247" t="s">
        <v>60</v>
      </c>
      <c r="E125" s="247">
        <v>9.46241896599531E-3</v>
      </c>
      <c r="F125" s="248">
        <v>2</v>
      </c>
      <c r="G125" s="20">
        <v>1</v>
      </c>
    </row>
    <row r="126" spans="2:7" x14ac:dyDescent="0.2">
      <c r="B126" s="236"/>
      <c r="D126" s="247" t="s">
        <v>188</v>
      </c>
      <c r="E126" s="247">
        <v>6.1692697927355697E-2</v>
      </c>
      <c r="F126" s="248">
        <v>14</v>
      </c>
      <c r="G126" s="20">
        <v>1</v>
      </c>
    </row>
    <row r="127" spans="2:7" x14ac:dyDescent="0.2">
      <c r="B127" s="236"/>
      <c r="D127" s="247" t="s">
        <v>107</v>
      </c>
      <c r="E127" s="247">
        <v>0.14624110423028458</v>
      </c>
      <c r="F127" s="248">
        <v>51</v>
      </c>
      <c r="G127" s="20">
        <v>4</v>
      </c>
    </row>
    <row r="128" spans="2:7" x14ac:dyDescent="0.2">
      <c r="B128" s="236"/>
      <c r="D128" s="247" t="s">
        <v>108</v>
      </c>
      <c r="E128" s="247">
        <v>0.20734965428709887</v>
      </c>
      <c r="F128" s="248">
        <v>97</v>
      </c>
      <c r="G128" s="20">
        <v>8</v>
      </c>
    </row>
    <row r="129" spans="2:7" ht="17" thickBot="1" x14ac:dyDescent="0.25">
      <c r="B129" s="236"/>
      <c r="D129" s="255" t="s">
        <v>109</v>
      </c>
      <c r="E129" s="255">
        <v>7.7938605099916397E-3</v>
      </c>
      <c r="F129" s="256">
        <v>4</v>
      </c>
      <c r="G129" s="71">
        <v>2</v>
      </c>
    </row>
    <row r="130" spans="2:7" s="2" customFormat="1" ht="17" thickBot="1" x14ac:dyDescent="0.25">
      <c r="B130" s="235"/>
      <c r="C130" s="266" t="s">
        <v>41</v>
      </c>
      <c r="D130" s="267"/>
      <c r="E130" s="268">
        <v>33.140986637212315</v>
      </c>
      <c r="F130" s="269">
        <v>11598</v>
      </c>
      <c r="G130" s="270">
        <v>37</v>
      </c>
    </row>
    <row r="131" spans="2:7" x14ac:dyDescent="0.2">
      <c r="B131" s="236"/>
      <c r="D131" s="247" t="s">
        <v>169</v>
      </c>
      <c r="E131" s="247">
        <v>1.5947843901812999E-2</v>
      </c>
      <c r="F131" s="248">
        <v>1</v>
      </c>
      <c r="G131" s="20">
        <v>1</v>
      </c>
    </row>
    <row r="132" spans="2:7" x14ac:dyDescent="0.2">
      <c r="B132" s="236"/>
      <c r="D132" s="247" t="s">
        <v>70</v>
      </c>
      <c r="E132" s="247">
        <v>7.1592641063034396E-2</v>
      </c>
      <c r="F132" s="248">
        <v>5</v>
      </c>
      <c r="G132" s="20">
        <v>2</v>
      </c>
    </row>
    <row r="133" spans="2:7" x14ac:dyDescent="0.2">
      <c r="B133" s="236"/>
      <c r="D133" s="247" t="s">
        <v>76</v>
      </c>
      <c r="E133" s="247">
        <v>5.3997846320271402E-2</v>
      </c>
      <c r="F133" s="248">
        <v>5</v>
      </c>
      <c r="G133" s="20">
        <v>1</v>
      </c>
    </row>
    <row r="134" spans="2:7" x14ac:dyDescent="0.2">
      <c r="B134" s="236"/>
      <c r="D134" s="247" t="s">
        <v>54</v>
      </c>
      <c r="E134" s="247">
        <v>2.5868390686809999E-2</v>
      </c>
      <c r="F134" s="248">
        <v>153</v>
      </c>
      <c r="G134" s="20">
        <v>5</v>
      </c>
    </row>
    <row r="135" spans="2:7" x14ac:dyDescent="0.2">
      <c r="B135" s="236"/>
      <c r="D135" s="247" t="s">
        <v>80</v>
      </c>
      <c r="E135" s="247">
        <v>11.609398392960419</v>
      </c>
      <c r="F135" s="248">
        <v>1204</v>
      </c>
      <c r="G135" s="20">
        <v>2</v>
      </c>
    </row>
    <row r="136" spans="2:7" x14ac:dyDescent="0.2">
      <c r="B136" s="236"/>
      <c r="D136" s="247" t="s">
        <v>116</v>
      </c>
      <c r="E136" s="247">
        <v>1.0663678869605E-2</v>
      </c>
      <c r="F136" s="248">
        <v>1</v>
      </c>
      <c r="G136" s="20">
        <v>1</v>
      </c>
    </row>
    <row r="137" spans="2:7" x14ac:dyDescent="0.2">
      <c r="B137" s="236"/>
      <c r="D137" s="247" t="s">
        <v>177</v>
      </c>
      <c r="E137" s="247">
        <v>1.4674942940473499E-2</v>
      </c>
      <c r="F137" s="248">
        <v>1</v>
      </c>
      <c r="G137" s="20">
        <v>1</v>
      </c>
    </row>
    <row r="138" spans="2:7" x14ac:dyDescent="0.2">
      <c r="B138" s="236"/>
      <c r="D138" s="247" t="s">
        <v>91</v>
      </c>
      <c r="E138" s="247">
        <v>0.110270799137651</v>
      </c>
      <c r="F138" s="248">
        <v>7</v>
      </c>
      <c r="G138" s="20">
        <v>1</v>
      </c>
    </row>
    <row r="139" spans="2:7" x14ac:dyDescent="0.2">
      <c r="B139" s="236"/>
      <c r="D139" s="247" t="s">
        <v>99</v>
      </c>
      <c r="E139" s="247">
        <v>2.49368362128734E-2</v>
      </c>
      <c r="F139" s="248">
        <v>2</v>
      </c>
      <c r="G139" s="20">
        <v>1</v>
      </c>
    </row>
    <row r="140" spans="2:7" x14ac:dyDescent="0.2">
      <c r="B140" s="236"/>
      <c r="D140" s="247" t="s">
        <v>100</v>
      </c>
      <c r="E140" s="247">
        <v>6.8748168647289207E-2</v>
      </c>
      <c r="F140" s="248">
        <v>4</v>
      </c>
      <c r="G140" s="20">
        <v>1</v>
      </c>
    </row>
    <row r="141" spans="2:7" x14ac:dyDescent="0.2">
      <c r="B141" s="236"/>
      <c r="D141" s="247" t="s">
        <v>101</v>
      </c>
      <c r="E141" s="247">
        <v>5.7806781372055402</v>
      </c>
      <c r="F141" s="248">
        <v>846</v>
      </c>
      <c r="G141" s="20">
        <v>1</v>
      </c>
    </row>
    <row r="142" spans="2:7" x14ac:dyDescent="0.2">
      <c r="B142" s="236"/>
      <c r="D142" s="247" t="s">
        <v>122</v>
      </c>
      <c r="E142" s="247">
        <v>0.220799369737505</v>
      </c>
      <c r="F142" s="248">
        <v>6</v>
      </c>
      <c r="G142" s="20">
        <v>1</v>
      </c>
    </row>
    <row r="143" spans="2:7" x14ac:dyDescent="0.2">
      <c r="B143" s="236"/>
      <c r="D143" s="247" t="s">
        <v>123</v>
      </c>
      <c r="E143" s="247">
        <v>4.7861728817224503E-3</v>
      </c>
      <c r="F143" s="248">
        <v>1</v>
      </c>
      <c r="G143" s="20">
        <v>1</v>
      </c>
    </row>
    <row r="144" spans="2:7" x14ac:dyDescent="0.2">
      <c r="B144" s="236"/>
      <c r="D144" s="247" t="s">
        <v>104</v>
      </c>
      <c r="E144" s="247">
        <v>1.7058641649782599E-2</v>
      </c>
      <c r="F144" s="248">
        <v>1</v>
      </c>
      <c r="G144" s="20">
        <v>1</v>
      </c>
    </row>
    <row r="145" spans="2:7" x14ac:dyDescent="0.2">
      <c r="B145" s="236"/>
      <c r="D145" s="247" t="s">
        <v>106</v>
      </c>
      <c r="E145" s="247">
        <v>1.48644829168915E-2</v>
      </c>
      <c r="F145" s="248">
        <v>25</v>
      </c>
      <c r="G145" s="20">
        <v>1</v>
      </c>
    </row>
    <row r="146" spans="2:7" x14ac:dyDescent="0.2">
      <c r="B146" s="236"/>
      <c r="D146" s="247" t="s">
        <v>59</v>
      </c>
      <c r="E146" s="247">
        <v>15.056184404529622</v>
      </c>
      <c r="F146" s="248">
        <v>9333</v>
      </c>
      <c r="G146" s="20">
        <v>14</v>
      </c>
    </row>
    <row r="147" spans="2:7" x14ac:dyDescent="0.2">
      <c r="B147" s="236"/>
      <c r="D147" s="247" t="s">
        <v>107</v>
      </c>
      <c r="E147" s="247">
        <v>2.42816153913736E-2</v>
      </c>
      <c r="F147" s="248">
        <v>2</v>
      </c>
      <c r="G147" s="20">
        <v>1</v>
      </c>
    </row>
    <row r="148" spans="2:7" ht="17" thickBot="1" x14ac:dyDescent="0.25">
      <c r="B148" s="236"/>
      <c r="D148" s="255" t="s">
        <v>108</v>
      </c>
      <c r="E148" s="255">
        <v>1.6234272159636E-2</v>
      </c>
      <c r="F148" s="256">
        <v>1</v>
      </c>
      <c r="G148" s="71">
        <v>1</v>
      </c>
    </row>
    <row r="149" spans="2:7" s="2" customFormat="1" ht="17" thickBot="1" x14ac:dyDescent="0.25">
      <c r="B149" s="235"/>
      <c r="C149" s="266" t="s">
        <v>149</v>
      </c>
      <c r="D149" s="267"/>
      <c r="E149" s="268">
        <v>11647.622420799897</v>
      </c>
      <c r="F149" s="269">
        <v>62717</v>
      </c>
      <c r="G149" s="270">
        <v>200</v>
      </c>
    </row>
    <row r="150" spans="2:7" x14ac:dyDescent="0.2">
      <c r="B150" s="236"/>
      <c r="D150" s="247" t="s">
        <v>64</v>
      </c>
      <c r="E150" s="247">
        <v>1.1069591157138301E-2</v>
      </c>
      <c r="F150" s="248">
        <v>33</v>
      </c>
      <c r="G150" s="20">
        <v>1</v>
      </c>
    </row>
    <row r="151" spans="2:7" x14ac:dyDescent="0.2">
      <c r="B151" s="236"/>
      <c r="D151" s="247" t="s">
        <v>111</v>
      </c>
      <c r="E151" s="247">
        <v>9.5659866929054206E-5</v>
      </c>
      <c r="F151" s="248">
        <v>8</v>
      </c>
      <c r="G151" s="20">
        <v>1</v>
      </c>
    </row>
    <row r="152" spans="2:7" x14ac:dyDescent="0.2">
      <c r="B152" s="236"/>
      <c r="D152" s="247" t="s">
        <v>67</v>
      </c>
      <c r="E152" s="247">
        <v>1.0464057475328401</v>
      </c>
      <c r="F152" s="248">
        <v>16</v>
      </c>
      <c r="G152" s="20">
        <v>2</v>
      </c>
    </row>
    <row r="153" spans="2:7" x14ac:dyDescent="0.2">
      <c r="B153" s="236"/>
      <c r="D153" s="247" t="s">
        <v>68</v>
      </c>
      <c r="E153" s="247">
        <v>8.5160873448476089</v>
      </c>
      <c r="F153" s="248">
        <v>59</v>
      </c>
      <c r="G153" s="20">
        <v>4</v>
      </c>
    </row>
    <row r="154" spans="2:7" x14ac:dyDescent="0.2">
      <c r="B154" s="236"/>
      <c r="D154" s="247" t="s">
        <v>69</v>
      </c>
      <c r="E154" s="247">
        <v>0.37263605929911131</v>
      </c>
      <c r="F154" s="248">
        <v>166</v>
      </c>
      <c r="G154" s="20">
        <v>4</v>
      </c>
    </row>
    <row r="155" spans="2:7" x14ac:dyDescent="0.2">
      <c r="B155" s="236"/>
      <c r="D155" s="247" t="s">
        <v>70</v>
      </c>
      <c r="E155" s="247">
        <v>816.73454251885323</v>
      </c>
      <c r="F155" s="248">
        <v>2210</v>
      </c>
      <c r="G155" s="20">
        <v>5</v>
      </c>
    </row>
    <row r="156" spans="2:7" x14ac:dyDescent="0.2">
      <c r="B156" s="236"/>
      <c r="D156" s="247" t="s">
        <v>71</v>
      </c>
      <c r="E156" s="247">
        <v>1.37193631380796E-2</v>
      </c>
      <c r="F156" s="248">
        <v>12</v>
      </c>
      <c r="G156" s="20">
        <v>1</v>
      </c>
    </row>
    <row r="157" spans="2:7" x14ac:dyDescent="0.2">
      <c r="B157" s="236"/>
      <c r="D157" s="247" t="s">
        <v>170</v>
      </c>
      <c r="E157" s="247">
        <v>0.390625</v>
      </c>
      <c r="F157" s="248">
        <v>1</v>
      </c>
      <c r="G157" s="20">
        <v>1</v>
      </c>
    </row>
    <row r="158" spans="2:7" x14ac:dyDescent="0.2">
      <c r="B158" s="236"/>
      <c r="D158" s="247" t="s">
        <v>110</v>
      </c>
      <c r="E158" s="247">
        <v>6.8898582831025098E-3</v>
      </c>
      <c r="F158" s="248">
        <v>8</v>
      </c>
      <c r="G158" s="20">
        <v>1</v>
      </c>
    </row>
    <row r="159" spans="2:7" x14ac:dyDescent="0.2">
      <c r="B159" s="236"/>
      <c r="D159" s="247" t="s">
        <v>73</v>
      </c>
      <c r="E159" s="247">
        <v>5.2040796726942002E-3</v>
      </c>
      <c r="F159" s="248">
        <v>9</v>
      </c>
      <c r="G159" s="20">
        <v>1</v>
      </c>
    </row>
    <row r="160" spans="2:7" x14ac:dyDescent="0.2">
      <c r="B160" s="236"/>
      <c r="D160" s="247" t="s">
        <v>76</v>
      </c>
      <c r="E160" s="247">
        <v>450.84884294029268</v>
      </c>
      <c r="F160" s="248">
        <v>1678</v>
      </c>
      <c r="G160" s="20">
        <v>5</v>
      </c>
    </row>
    <row r="161" spans="2:7" x14ac:dyDescent="0.2">
      <c r="B161" s="236"/>
      <c r="D161" s="247" t="s">
        <v>77</v>
      </c>
      <c r="E161" s="247">
        <v>0.38472193386405668</v>
      </c>
      <c r="F161" s="248">
        <v>58</v>
      </c>
      <c r="G161" s="20">
        <v>2</v>
      </c>
    </row>
    <row r="162" spans="2:7" x14ac:dyDescent="0.2">
      <c r="B162" s="236"/>
      <c r="D162" s="247" t="s">
        <v>78</v>
      </c>
      <c r="E162" s="247">
        <v>0.450522652827203</v>
      </c>
      <c r="F162" s="248">
        <v>89</v>
      </c>
      <c r="G162" s="20">
        <v>2</v>
      </c>
    </row>
    <row r="163" spans="2:7" x14ac:dyDescent="0.2">
      <c r="B163" s="236"/>
      <c r="D163" s="247" t="s">
        <v>54</v>
      </c>
      <c r="E163" s="247">
        <v>0.106620493344962</v>
      </c>
      <c r="F163" s="248">
        <v>87</v>
      </c>
      <c r="G163" s="20">
        <v>2</v>
      </c>
    </row>
    <row r="164" spans="2:7" x14ac:dyDescent="0.2">
      <c r="B164" s="236"/>
      <c r="D164" s="247" t="s">
        <v>80</v>
      </c>
      <c r="E164" s="247">
        <v>3219.34031447395</v>
      </c>
      <c r="F164" s="248">
        <v>10403</v>
      </c>
      <c r="G164" s="20">
        <v>8</v>
      </c>
    </row>
    <row r="165" spans="2:7" x14ac:dyDescent="0.2">
      <c r="B165" s="236"/>
      <c r="D165" s="247" t="s">
        <v>82</v>
      </c>
      <c r="E165" s="247">
        <v>433.599932798184</v>
      </c>
      <c r="F165" s="248">
        <v>1253</v>
      </c>
      <c r="G165" s="20">
        <v>3</v>
      </c>
    </row>
    <row r="166" spans="2:7" x14ac:dyDescent="0.2">
      <c r="B166" s="236"/>
      <c r="D166" s="247" t="s">
        <v>84</v>
      </c>
      <c r="E166" s="247">
        <v>0.761964074335992</v>
      </c>
      <c r="F166" s="248">
        <v>180</v>
      </c>
      <c r="G166" s="20">
        <v>4</v>
      </c>
    </row>
    <row r="167" spans="2:7" x14ac:dyDescent="0.2">
      <c r="B167" s="236"/>
      <c r="D167" s="247" t="s">
        <v>86</v>
      </c>
      <c r="E167" s="247">
        <v>2.3334747180342601E-2</v>
      </c>
      <c r="F167" s="248">
        <v>55</v>
      </c>
      <c r="G167" s="20">
        <v>4</v>
      </c>
    </row>
    <row r="168" spans="2:7" x14ac:dyDescent="0.2">
      <c r="B168" s="236"/>
      <c r="D168" s="247" t="s">
        <v>55</v>
      </c>
      <c r="E168" s="247">
        <v>0.16402192972600421</v>
      </c>
      <c r="F168" s="248">
        <v>280</v>
      </c>
      <c r="G168" s="20">
        <v>4</v>
      </c>
    </row>
    <row r="169" spans="2:7" x14ac:dyDescent="0.2">
      <c r="B169" s="236"/>
      <c r="D169" s="247" t="s">
        <v>89</v>
      </c>
      <c r="E169" s="247">
        <v>264.0735115595154</v>
      </c>
      <c r="F169" s="248">
        <v>1478</v>
      </c>
      <c r="G169" s="20">
        <v>10</v>
      </c>
    </row>
    <row r="170" spans="2:7" x14ac:dyDescent="0.2">
      <c r="B170" s="236"/>
      <c r="D170" s="247" t="s">
        <v>91</v>
      </c>
      <c r="E170" s="247">
        <v>1.7593707889318401E-4</v>
      </c>
      <c r="F170" s="248">
        <v>16</v>
      </c>
      <c r="G170" s="20">
        <v>1</v>
      </c>
    </row>
    <row r="171" spans="2:7" x14ac:dyDescent="0.2">
      <c r="B171" s="236"/>
      <c r="D171" s="247" t="s">
        <v>94</v>
      </c>
      <c r="E171" s="247">
        <v>4.4540222734212799E-4</v>
      </c>
      <c r="F171" s="248">
        <v>22</v>
      </c>
      <c r="G171" s="20">
        <v>2</v>
      </c>
    </row>
    <row r="172" spans="2:7" x14ac:dyDescent="0.2">
      <c r="B172" s="236"/>
      <c r="D172" s="247" t="s">
        <v>56</v>
      </c>
      <c r="E172" s="247">
        <v>2.8839586302638002E-3</v>
      </c>
      <c r="F172" s="248">
        <v>9</v>
      </c>
      <c r="G172" s="20">
        <v>1</v>
      </c>
    </row>
    <row r="173" spans="2:7" x14ac:dyDescent="0.2">
      <c r="B173" s="236"/>
      <c r="D173" s="247" t="s">
        <v>97</v>
      </c>
      <c r="E173" s="247">
        <v>8.6441170424222903E-4</v>
      </c>
      <c r="F173" s="248">
        <v>7</v>
      </c>
      <c r="G173" s="20">
        <v>1</v>
      </c>
    </row>
    <row r="174" spans="2:7" x14ac:dyDescent="0.2">
      <c r="B174" s="236"/>
      <c r="D174" s="247" t="s">
        <v>99</v>
      </c>
      <c r="E174" s="247">
        <v>8.9749359525740105E-2</v>
      </c>
      <c r="F174" s="248">
        <v>24</v>
      </c>
      <c r="G174" s="20">
        <v>1</v>
      </c>
    </row>
    <row r="175" spans="2:7" x14ac:dyDescent="0.2">
      <c r="B175" s="236"/>
      <c r="D175" s="247" t="s">
        <v>57</v>
      </c>
      <c r="E175" s="247">
        <v>371.29034313652647</v>
      </c>
      <c r="F175" s="248">
        <v>1263</v>
      </c>
      <c r="G175" s="20">
        <v>6</v>
      </c>
    </row>
    <row r="176" spans="2:7" x14ac:dyDescent="0.2">
      <c r="B176" s="236"/>
      <c r="D176" s="247" t="s">
        <v>104</v>
      </c>
      <c r="E176" s="247">
        <v>1.5824018046259793E-2</v>
      </c>
      <c r="F176" s="248">
        <v>29</v>
      </c>
      <c r="G176" s="20">
        <v>2</v>
      </c>
    </row>
    <row r="177" spans="2:7" x14ac:dyDescent="0.2">
      <c r="B177" s="236"/>
      <c r="D177" s="247" t="s">
        <v>106</v>
      </c>
      <c r="E177" s="247">
        <v>6.8752374500036196E-3</v>
      </c>
      <c r="F177" s="248">
        <v>9</v>
      </c>
      <c r="G177" s="20">
        <v>1</v>
      </c>
    </row>
    <row r="178" spans="2:7" x14ac:dyDescent="0.2">
      <c r="B178" s="236"/>
      <c r="D178" s="247" t="s">
        <v>58</v>
      </c>
      <c r="E178" s="247">
        <v>2.7963658794760694E-2</v>
      </c>
      <c r="F178" s="248">
        <v>21</v>
      </c>
      <c r="G178" s="20">
        <v>2</v>
      </c>
    </row>
    <row r="179" spans="2:7" x14ac:dyDescent="0.2">
      <c r="B179" s="236"/>
      <c r="D179" s="247" t="s">
        <v>59</v>
      </c>
      <c r="E179" s="247">
        <v>6079.3110099127389</v>
      </c>
      <c r="F179" s="248">
        <v>43230</v>
      </c>
      <c r="G179" s="20">
        <v>117</v>
      </c>
    </row>
    <row r="180" spans="2:7" ht="17" thickBot="1" x14ac:dyDescent="0.25">
      <c r="B180" s="236"/>
      <c r="D180" s="255" t="s">
        <v>60</v>
      </c>
      <c r="E180" s="255">
        <v>2.5222941301762999E-2</v>
      </c>
      <c r="F180" s="256">
        <v>4</v>
      </c>
      <c r="G180" s="71">
        <v>1</v>
      </c>
    </row>
    <row r="181" spans="2:7" s="2" customFormat="1" ht="17" thickBot="1" x14ac:dyDescent="0.25">
      <c r="B181" s="235"/>
      <c r="C181" s="266" t="s">
        <v>152</v>
      </c>
      <c r="D181" s="267"/>
      <c r="E181" s="268">
        <v>544886.74072390248</v>
      </c>
      <c r="F181" s="269">
        <v>98991</v>
      </c>
      <c r="G181" s="270">
        <v>325</v>
      </c>
    </row>
    <row r="182" spans="2:7" x14ac:dyDescent="0.2">
      <c r="B182" s="236"/>
      <c r="D182" s="247" t="s">
        <v>61</v>
      </c>
      <c r="E182" s="247">
        <v>3.77443237230181E-2</v>
      </c>
      <c r="F182" s="248">
        <v>120</v>
      </c>
      <c r="G182" s="20">
        <v>4</v>
      </c>
    </row>
    <row r="183" spans="2:7" x14ac:dyDescent="0.2">
      <c r="B183" s="236"/>
      <c r="D183" s="247" t="s">
        <v>62</v>
      </c>
      <c r="E183" s="247">
        <v>0.195481198839843</v>
      </c>
      <c r="F183" s="248">
        <v>94</v>
      </c>
      <c r="G183" s="20">
        <v>2</v>
      </c>
    </row>
    <row r="184" spans="2:7" x14ac:dyDescent="0.2">
      <c r="B184" s="236"/>
      <c r="D184" s="247" t="s">
        <v>63</v>
      </c>
      <c r="E184" s="247">
        <v>2.0703490013256598</v>
      </c>
      <c r="F184" s="248">
        <v>639</v>
      </c>
      <c r="G184" s="20">
        <v>1</v>
      </c>
    </row>
    <row r="185" spans="2:7" x14ac:dyDescent="0.2">
      <c r="B185" s="236"/>
      <c r="D185" s="247" t="s">
        <v>64</v>
      </c>
      <c r="E185" s="247">
        <v>6.5946868620812796E-2</v>
      </c>
      <c r="F185" s="248">
        <v>88</v>
      </c>
      <c r="G185" s="20">
        <v>2</v>
      </c>
    </row>
    <row r="186" spans="2:7" x14ac:dyDescent="0.2">
      <c r="B186" s="236"/>
      <c r="D186" s="247" t="s">
        <v>168</v>
      </c>
      <c r="E186" s="247">
        <v>4.3212072923779401E-3</v>
      </c>
      <c r="F186" s="248">
        <v>24</v>
      </c>
      <c r="G186" s="20">
        <v>1</v>
      </c>
    </row>
    <row r="187" spans="2:7" x14ac:dyDescent="0.2">
      <c r="B187" s="236"/>
      <c r="D187" s="247" t="s">
        <v>66</v>
      </c>
      <c r="E187" s="247">
        <v>3.31230591982603E-2</v>
      </c>
      <c r="F187" s="248">
        <v>61</v>
      </c>
      <c r="G187" s="20">
        <v>2</v>
      </c>
    </row>
    <row r="188" spans="2:7" x14ac:dyDescent="0.2">
      <c r="B188" s="236"/>
      <c r="D188" s="247" t="s">
        <v>67</v>
      </c>
      <c r="E188" s="247">
        <v>4.5028368700295545</v>
      </c>
      <c r="F188" s="248">
        <v>467</v>
      </c>
      <c r="G188" s="20">
        <v>17</v>
      </c>
    </row>
    <row r="189" spans="2:7" x14ac:dyDescent="0.2">
      <c r="B189" s="236"/>
      <c r="D189" s="247" t="s">
        <v>169</v>
      </c>
      <c r="E189" s="247">
        <v>0.1249920642003416</v>
      </c>
      <c r="F189" s="248">
        <v>69</v>
      </c>
      <c r="G189" s="20">
        <v>2</v>
      </c>
    </row>
    <row r="190" spans="2:7" x14ac:dyDescent="0.2">
      <c r="B190" s="236"/>
      <c r="D190" s="247" t="s">
        <v>68</v>
      </c>
      <c r="E190" s="247">
        <v>5.2051175525411937</v>
      </c>
      <c r="F190" s="248">
        <v>666</v>
      </c>
      <c r="G190" s="20">
        <v>11</v>
      </c>
    </row>
    <row r="191" spans="2:7" x14ac:dyDescent="0.2">
      <c r="B191" s="236"/>
      <c r="D191" s="247" t="s">
        <v>69</v>
      </c>
      <c r="E191" s="247">
        <v>4.8097391612827702E-2</v>
      </c>
      <c r="F191" s="248">
        <v>324</v>
      </c>
      <c r="G191" s="20">
        <v>5</v>
      </c>
    </row>
    <row r="192" spans="2:7" x14ac:dyDescent="0.2">
      <c r="B192" s="236"/>
      <c r="D192" s="247" t="s">
        <v>70</v>
      </c>
      <c r="E192" s="247">
        <v>7.1429219851270203</v>
      </c>
      <c r="F192" s="248">
        <v>2152</v>
      </c>
      <c r="G192" s="20">
        <v>29</v>
      </c>
    </row>
    <row r="193" spans="2:7" x14ac:dyDescent="0.2">
      <c r="B193" s="236"/>
      <c r="D193" s="247" t="s">
        <v>71</v>
      </c>
      <c r="E193" s="247">
        <v>0.234132315963506</v>
      </c>
      <c r="F193" s="248">
        <v>561</v>
      </c>
      <c r="G193" s="20">
        <v>20</v>
      </c>
    </row>
    <row r="194" spans="2:7" x14ac:dyDescent="0.2">
      <c r="B194" s="236"/>
      <c r="D194" s="247" t="s">
        <v>72</v>
      </c>
      <c r="E194" s="247">
        <v>0.73848336841911</v>
      </c>
      <c r="F194" s="248">
        <v>507</v>
      </c>
      <c r="G194" s="20">
        <v>6</v>
      </c>
    </row>
    <row r="195" spans="2:7" x14ac:dyDescent="0.2">
      <c r="B195" s="236"/>
      <c r="D195" s="247" t="s">
        <v>73</v>
      </c>
      <c r="E195" s="247">
        <v>4.3713198974728498E-3</v>
      </c>
      <c r="F195" s="248">
        <v>33</v>
      </c>
      <c r="G195" s="20">
        <v>3</v>
      </c>
    </row>
    <row r="196" spans="2:7" x14ac:dyDescent="0.2">
      <c r="B196" s="236"/>
      <c r="D196" s="247" t="s">
        <v>74</v>
      </c>
      <c r="E196" s="247">
        <v>1.36110177263617E-2</v>
      </c>
      <c r="F196" s="248">
        <v>120</v>
      </c>
      <c r="G196" s="20">
        <v>2</v>
      </c>
    </row>
    <row r="197" spans="2:7" x14ac:dyDescent="0.2">
      <c r="B197" s="236"/>
      <c r="D197" s="247" t="s">
        <v>75</v>
      </c>
      <c r="E197" s="247">
        <v>3.34605099633336E-2</v>
      </c>
      <c r="F197" s="248">
        <v>71</v>
      </c>
      <c r="G197" s="20">
        <v>3</v>
      </c>
    </row>
    <row r="198" spans="2:7" x14ac:dyDescent="0.2">
      <c r="B198" s="236"/>
      <c r="D198" s="247" t="s">
        <v>76</v>
      </c>
      <c r="E198" s="247">
        <v>0.17250215169042299</v>
      </c>
      <c r="F198" s="248">
        <v>187</v>
      </c>
      <c r="G198" s="20">
        <v>4</v>
      </c>
    </row>
    <row r="199" spans="2:7" x14ac:dyDescent="0.2">
      <c r="B199" s="236"/>
      <c r="D199" s="247" t="s">
        <v>77</v>
      </c>
      <c r="E199" s="247">
        <v>4.1549103334546002E-3</v>
      </c>
      <c r="F199" s="248">
        <v>6</v>
      </c>
      <c r="G199" s="20">
        <v>1</v>
      </c>
    </row>
    <row r="200" spans="2:7" x14ac:dyDescent="0.2">
      <c r="B200" s="236"/>
      <c r="D200" s="247" t="s">
        <v>78</v>
      </c>
      <c r="E200" s="247">
        <v>4.1591990739107097E-3</v>
      </c>
      <c r="F200" s="248">
        <v>9</v>
      </c>
      <c r="G200" s="20">
        <v>1</v>
      </c>
    </row>
    <row r="201" spans="2:7" x14ac:dyDescent="0.2">
      <c r="B201" s="236"/>
      <c r="D201" s="247" t="s">
        <v>79</v>
      </c>
      <c r="E201" s="247">
        <v>4.1456539183854996E-3</v>
      </c>
      <c r="F201" s="248">
        <v>5</v>
      </c>
      <c r="G201" s="20">
        <v>1</v>
      </c>
    </row>
    <row r="202" spans="2:7" x14ac:dyDescent="0.2">
      <c r="B202" s="236"/>
      <c r="D202" s="247" t="s">
        <v>54</v>
      </c>
      <c r="E202" s="247">
        <v>5.0628836266696398E-2</v>
      </c>
      <c r="F202" s="248">
        <v>194</v>
      </c>
      <c r="G202" s="20">
        <v>6</v>
      </c>
    </row>
    <row r="203" spans="2:7" x14ac:dyDescent="0.2">
      <c r="B203" s="236"/>
      <c r="D203" s="247" t="s">
        <v>80</v>
      </c>
      <c r="E203" s="247">
        <v>3.983945105224842</v>
      </c>
      <c r="F203" s="248">
        <v>270</v>
      </c>
      <c r="G203" s="20">
        <v>10</v>
      </c>
    </row>
    <row r="204" spans="2:7" x14ac:dyDescent="0.2">
      <c r="B204" s="236"/>
      <c r="D204" s="247" t="s">
        <v>81</v>
      </c>
      <c r="E204" s="247">
        <v>4.4131325557827897E-3</v>
      </c>
      <c r="F204" s="248">
        <v>35</v>
      </c>
      <c r="G204" s="20">
        <v>1</v>
      </c>
    </row>
    <row r="205" spans="2:7" x14ac:dyDescent="0.2">
      <c r="B205" s="236"/>
      <c r="D205" s="247" t="s">
        <v>82</v>
      </c>
      <c r="E205" s="247">
        <v>1.25161921605467E-2</v>
      </c>
      <c r="F205" s="248">
        <v>26</v>
      </c>
      <c r="G205" s="20">
        <v>3</v>
      </c>
    </row>
    <row r="206" spans="2:7" x14ac:dyDescent="0.2">
      <c r="B206" s="236"/>
      <c r="D206" s="247" t="s">
        <v>83</v>
      </c>
      <c r="E206" s="247">
        <v>6.4911047928035204E-2</v>
      </c>
      <c r="F206" s="248">
        <v>33</v>
      </c>
      <c r="G206" s="20">
        <v>1</v>
      </c>
    </row>
    <row r="207" spans="2:7" x14ac:dyDescent="0.2">
      <c r="B207" s="236"/>
      <c r="D207" s="247" t="s">
        <v>84</v>
      </c>
      <c r="E207" s="247">
        <v>8.2051185891032202E-3</v>
      </c>
      <c r="F207" s="248">
        <v>12</v>
      </c>
      <c r="G207" s="20">
        <v>2</v>
      </c>
    </row>
    <row r="208" spans="2:7" x14ac:dyDescent="0.2">
      <c r="B208" s="236"/>
      <c r="D208" s="247" t="s">
        <v>86</v>
      </c>
      <c r="E208" s="247">
        <v>5.3072917275130742E-2</v>
      </c>
      <c r="F208" s="248">
        <v>37</v>
      </c>
      <c r="G208" s="20">
        <v>2</v>
      </c>
    </row>
    <row r="209" spans="2:7" x14ac:dyDescent="0.2">
      <c r="B209" s="236"/>
      <c r="D209" s="247" t="s">
        <v>87</v>
      </c>
      <c r="E209" s="247">
        <v>0.11896470468491301</v>
      </c>
      <c r="F209" s="248">
        <v>150</v>
      </c>
      <c r="G209" s="20">
        <v>2</v>
      </c>
    </row>
    <row r="210" spans="2:7" x14ac:dyDescent="0.2">
      <c r="B210" s="236"/>
      <c r="D210" s="247" t="s">
        <v>173</v>
      </c>
      <c r="E210" s="247">
        <v>0.102129198610782</v>
      </c>
      <c r="F210" s="248">
        <v>1</v>
      </c>
      <c r="G210" s="20">
        <v>1</v>
      </c>
    </row>
    <row r="211" spans="2:7" x14ac:dyDescent="0.2">
      <c r="B211" s="236"/>
      <c r="D211" s="247" t="s">
        <v>55</v>
      </c>
      <c r="E211" s="247">
        <v>2.9835191555321199E-2</v>
      </c>
      <c r="F211" s="248">
        <v>119</v>
      </c>
      <c r="G211" s="20">
        <v>6</v>
      </c>
    </row>
    <row r="212" spans="2:7" x14ac:dyDescent="0.2">
      <c r="B212" s="236"/>
      <c r="D212" s="247" t="s">
        <v>126</v>
      </c>
      <c r="E212" s="247">
        <v>4.8962952569127E-2</v>
      </c>
      <c r="F212" s="248">
        <v>34</v>
      </c>
      <c r="G212" s="20">
        <v>1</v>
      </c>
    </row>
    <row r="213" spans="2:7" x14ac:dyDescent="0.2">
      <c r="B213" s="236"/>
      <c r="D213" s="247" t="s">
        <v>192</v>
      </c>
      <c r="E213" s="247">
        <v>1.2882270850241099E-2</v>
      </c>
      <c r="F213" s="248">
        <v>77</v>
      </c>
      <c r="G213" s="20">
        <v>1</v>
      </c>
    </row>
    <row r="214" spans="2:7" x14ac:dyDescent="0.2">
      <c r="B214" s="236"/>
      <c r="D214" s="247" t="s">
        <v>88</v>
      </c>
      <c r="E214" s="247">
        <v>1.91373750567436E-4</v>
      </c>
      <c r="F214" s="248">
        <v>20</v>
      </c>
      <c r="G214" s="20">
        <v>1</v>
      </c>
    </row>
    <row r="215" spans="2:7" x14ac:dyDescent="0.2">
      <c r="B215" s="236"/>
      <c r="D215" s="247" t="s">
        <v>89</v>
      </c>
      <c r="E215" s="247">
        <v>4.4495865395292498</v>
      </c>
      <c r="F215" s="248">
        <v>515</v>
      </c>
      <c r="G215" s="20">
        <v>7</v>
      </c>
    </row>
    <row r="216" spans="2:7" x14ac:dyDescent="0.2">
      <c r="B216" s="236"/>
      <c r="D216" s="247" t="s">
        <v>90</v>
      </c>
      <c r="E216" s="247">
        <v>4.3242499232292097E-3</v>
      </c>
      <c r="F216" s="248">
        <v>20</v>
      </c>
      <c r="G216" s="20">
        <v>1</v>
      </c>
    </row>
    <row r="217" spans="2:7" x14ac:dyDescent="0.2">
      <c r="B217" s="236"/>
      <c r="D217" s="247" t="s">
        <v>177</v>
      </c>
      <c r="E217" s="247">
        <v>1.98420593515038E-2</v>
      </c>
      <c r="F217" s="248">
        <v>20</v>
      </c>
      <c r="G217" s="20">
        <v>2</v>
      </c>
    </row>
    <row r="218" spans="2:7" x14ac:dyDescent="0.2">
      <c r="B218" s="236"/>
      <c r="D218" s="247" t="s">
        <v>178</v>
      </c>
      <c r="E218" s="247">
        <v>2.3491262458264699E-2</v>
      </c>
      <c r="F218" s="248">
        <v>359</v>
      </c>
      <c r="G218" s="20">
        <v>3</v>
      </c>
    </row>
    <row r="219" spans="2:7" x14ac:dyDescent="0.2">
      <c r="B219" s="236"/>
      <c r="D219" s="247" t="s">
        <v>91</v>
      </c>
      <c r="E219" s="247">
        <v>0.146590554155409</v>
      </c>
      <c r="F219" s="248">
        <v>695</v>
      </c>
      <c r="G219" s="20">
        <v>9</v>
      </c>
    </row>
    <row r="220" spans="2:7" x14ac:dyDescent="0.2">
      <c r="B220" s="236"/>
      <c r="D220" s="247" t="s">
        <v>93</v>
      </c>
      <c r="E220" s="247">
        <v>8.2537857815623197E-3</v>
      </c>
      <c r="F220" s="248">
        <v>11</v>
      </c>
      <c r="G220" s="20">
        <v>1</v>
      </c>
    </row>
    <row r="221" spans="2:7" x14ac:dyDescent="0.2">
      <c r="B221" s="236"/>
      <c r="D221" s="247" t="s">
        <v>94</v>
      </c>
      <c r="E221" s="247">
        <v>1.34460963308811E-2</v>
      </c>
      <c r="F221" s="248">
        <v>142</v>
      </c>
      <c r="G221" s="20">
        <v>2</v>
      </c>
    </row>
    <row r="222" spans="2:7" x14ac:dyDescent="0.2">
      <c r="B222" s="236"/>
      <c r="D222" s="247" t="s">
        <v>95</v>
      </c>
      <c r="E222" s="247">
        <v>2.6722541647031868</v>
      </c>
      <c r="F222" s="248">
        <v>639</v>
      </c>
      <c r="G222" s="20">
        <v>18</v>
      </c>
    </row>
    <row r="223" spans="2:7" x14ac:dyDescent="0.2">
      <c r="B223" s="236"/>
      <c r="D223" s="247" t="s">
        <v>56</v>
      </c>
      <c r="E223" s="247">
        <v>7.5178903527557794E-2</v>
      </c>
      <c r="F223" s="248">
        <v>34</v>
      </c>
      <c r="G223" s="20">
        <v>2</v>
      </c>
    </row>
    <row r="224" spans="2:7" x14ac:dyDescent="0.2">
      <c r="B224" s="236"/>
      <c r="D224" s="247" t="s">
        <v>119</v>
      </c>
      <c r="E224" s="247">
        <v>1.61268962547183E-2</v>
      </c>
      <c r="F224" s="248">
        <v>33</v>
      </c>
      <c r="G224" s="20">
        <v>2</v>
      </c>
    </row>
    <row r="225" spans="2:7" x14ac:dyDescent="0.2">
      <c r="B225" s="236"/>
      <c r="D225" s="247" t="s">
        <v>181</v>
      </c>
      <c r="E225" s="247">
        <v>5.3004506044089697E-2</v>
      </c>
      <c r="F225" s="248">
        <v>53</v>
      </c>
      <c r="G225" s="20">
        <v>1</v>
      </c>
    </row>
    <row r="226" spans="2:7" x14ac:dyDescent="0.2">
      <c r="B226" s="236"/>
      <c r="D226" s="247" t="s">
        <v>120</v>
      </c>
      <c r="E226" s="247">
        <v>4.9227814190089703E-2</v>
      </c>
      <c r="F226" s="248">
        <v>65</v>
      </c>
      <c r="G226" s="20">
        <v>3</v>
      </c>
    </row>
    <row r="227" spans="2:7" x14ac:dyDescent="0.2">
      <c r="B227" s="236"/>
      <c r="D227" s="247" t="s">
        <v>97</v>
      </c>
      <c r="E227" s="247">
        <v>2.2422614647075498</v>
      </c>
      <c r="F227" s="248">
        <v>126</v>
      </c>
      <c r="G227" s="20">
        <v>7</v>
      </c>
    </row>
    <row r="228" spans="2:7" x14ac:dyDescent="0.2">
      <c r="B228" s="236"/>
      <c r="D228" s="247" t="s">
        <v>98</v>
      </c>
      <c r="E228" s="247">
        <v>4.2033373042941005</v>
      </c>
      <c r="F228" s="248">
        <v>37</v>
      </c>
      <c r="G228" s="20">
        <v>3</v>
      </c>
    </row>
    <row r="229" spans="2:7" x14ac:dyDescent="0.2">
      <c r="B229" s="236"/>
      <c r="D229" s="247" t="s">
        <v>183</v>
      </c>
      <c r="E229" s="247">
        <v>4.1646733880043004E-3</v>
      </c>
      <c r="F229" s="248">
        <v>7</v>
      </c>
      <c r="G229" s="20">
        <v>1</v>
      </c>
    </row>
    <row r="230" spans="2:7" x14ac:dyDescent="0.2">
      <c r="B230" s="236"/>
      <c r="D230" s="247" t="s">
        <v>99</v>
      </c>
      <c r="E230" s="247">
        <v>8.2651153206825202E-5</v>
      </c>
      <c r="F230" s="248">
        <v>9</v>
      </c>
      <c r="G230" s="20">
        <v>1</v>
      </c>
    </row>
    <row r="231" spans="2:7" x14ac:dyDescent="0.2">
      <c r="B231" s="236"/>
      <c r="D231" s="247" t="s">
        <v>100</v>
      </c>
      <c r="E231" s="247">
        <v>6.5318852663040106E-2</v>
      </c>
      <c r="F231" s="248">
        <v>61</v>
      </c>
      <c r="G231" s="20">
        <v>1</v>
      </c>
    </row>
    <row r="232" spans="2:7" x14ac:dyDescent="0.2">
      <c r="B232" s="236"/>
      <c r="D232" s="247" t="s">
        <v>57</v>
      </c>
      <c r="E232" s="247">
        <v>3.67421181872487E-2</v>
      </c>
      <c r="F232" s="248">
        <v>27</v>
      </c>
      <c r="G232" s="20">
        <v>4</v>
      </c>
    </row>
    <row r="233" spans="2:7" x14ac:dyDescent="0.2">
      <c r="B233" s="236"/>
      <c r="D233" s="247" t="s">
        <v>121</v>
      </c>
      <c r="E233" s="247">
        <v>4.2299851775169303E-3</v>
      </c>
      <c r="F233" s="248">
        <v>16</v>
      </c>
      <c r="G233" s="20">
        <v>1</v>
      </c>
    </row>
    <row r="234" spans="2:7" x14ac:dyDescent="0.2">
      <c r="B234" s="236"/>
      <c r="D234" s="247" t="s">
        <v>101</v>
      </c>
      <c r="E234" s="247">
        <v>26640.900302493872</v>
      </c>
      <c r="F234" s="248">
        <v>52639</v>
      </c>
      <c r="G234" s="20">
        <v>4</v>
      </c>
    </row>
    <row r="235" spans="2:7" x14ac:dyDescent="0.2">
      <c r="B235" s="236"/>
      <c r="D235" s="247" t="s">
        <v>122</v>
      </c>
      <c r="E235" s="247">
        <v>0.131565098650753</v>
      </c>
      <c r="F235" s="248">
        <v>57</v>
      </c>
      <c r="G235" s="20">
        <v>8</v>
      </c>
    </row>
    <row r="236" spans="2:7" x14ac:dyDescent="0.2">
      <c r="B236" s="236"/>
      <c r="D236" s="247" t="s">
        <v>102</v>
      </c>
      <c r="E236" s="247">
        <v>8.1586120650172199E-3</v>
      </c>
      <c r="F236" s="248">
        <v>6</v>
      </c>
      <c r="G236" s="20">
        <v>1</v>
      </c>
    </row>
    <row r="237" spans="2:7" x14ac:dyDescent="0.2">
      <c r="B237" s="236"/>
      <c r="D237" s="247" t="s">
        <v>124</v>
      </c>
      <c r="E237" s="247">
        <v>2.58371280506253E-2</v>
      </c>
      <c r="F237" s="248">
        <v>85</v>
      </c>
      <c r="G237" s="20">
        <v>4</v>
      </c>
    </row>
    <row r="238" spans="2:7" x14ac:dyDescent="0.2">
      <c r="B238" s="236"/>
      <c r="D238" s="247" t="s">
        <v>104</v>
      </c>
      <c r="E238" s="247">
        <v>4.53339470550417E-2</v>
      </c>
      <c r="F238" s="248">
        <v>42</v>
      </c>
      <c r="G238" s="20">
        <v>1</v>
      </c>
    </row>
    <row r="239" spans="2:7" x14ac:dyDescent="0.2">
      <c r="B239" s="236"/>
      <c r="D239" s="247" t="s">
        <v>105</v>
      </c>
      <c r="E239" s="247">
        <v>1.29280043765902E-2</v>
      </c>
      <c r="F239" s="248">
        <v>48</v>
      </c>
      <c r="G239" s="20">
        <v>3</v>
      </c>
    </row>
    <row r="240" spans="2:7" x14ac:dyDescent="0.2">
      <c r="B240" s="236"/>
      <c r="D240" s="247" t="s">
        <v>106</v>
      </c>
      <c r="E240" s="247">
        <v>7.5173222301527778</v>
      </c>
      <c r="F240" s="248">
        <v>23</v>
      </c>
      <c r="G240" s="20">
        <v>3</v>
      </c>
    </row>
    <row r="241" spans="2:7" x14ac:dyDescent="0.2">
      <c r="B241" s="236"/>
      <c r="D241" s="247" t="s">
        <v>58</v>
      </c>
      <c r="E241" s="247">
        <v>6.7698474042117499E-2</v>
      </c>
      <c r="F241" s="248">
        <v>104</v>
      </c>
      <c r="G241" s="20">
        <v>4</v>
      </c>
    </row>
    <row r="242" spans="2:7" x14ac:dyDescent="0.2">
      <c r="B242" s="236"/>
      <c r="D242" s="247" t="s">
        <v>59</v>
      </c>
      <c r="E242" s="247">
        <v>518198.18752379925</v>
      </c>
      <c r="F242" s="248">
        <v>35519</v>
      </c>
      <c r="G242" s="20">
        <v>62</v>
      </c>
    </row>
    <row r="243" spans="2:7" x14ac:dyDescent="0.2">
      <c r="B243" s="236"/>
      <c r="D243" s="247" t="s">
        <v>60</v>
      </c>
      <c r="E243" s="247">
        <v>9.4431676901876899E-2</v>
      </c>
      <c r="F243" s="248">
        <v>50</v>
      </c>
      <c r="G243" s="20">
        <v>1</v>
      </c>
    </row>
    <row r="244" spans="2:7" x14ac:dyDescent="0.2">
      <c r="B244" s="236"/>
      <c r="D244" s="247" t="s">
        <v>188</v>
      </c>
      <c r="E244" s="247">
        <v>6.9072029553353703E-2</v>
      </c>
      <c r="F244" s="248">
        <v>28</v>
      </c>
      <c r="G244" s="20">
        <v>1</v>
      </c>
    </row>
    <row r="245" spans="2:7" x14ac:dyDescent="0.2">
      <c r="B245" s="236"/>
      <c r="D245" s="247" t="s">
        <v>107</v>
      </c>
      <c r="E245" s="247">
        <v>7.7681072987616007E-2</v>
      </c>
      <c r="F245" s="248">
        <v>39</v>
      </c>
      <c r="G245" s="20">
        <v>1</v>
      </c>
    </row>
    <row r="246" spans="2:7" x14ac:dyDescent="0.2">
      <c r="B246" s="236"/>
      <c r="D246" s="247" t="s">
        <v>108</v>
      </c>
      <c r="E246" s="247">
        <v>0.37252395227551405</v>
      </c>
      <c r="F246" s="248">
        <v>249</v>
      </c>
      <c r="G246" s="20">
        <v>7</v>
      </c>
    </row>
    <row r="247" spans="2:7" ht="17" thickBot="1" x14ac:dyDescent="0.25">
      <c r="B247" s="236"/>
      <c r="D247" s="255" t="s">
        <v>109</v>
      </c>
      <c r="E247" s="255">
        <v>1.22714899480342E-2</v>
      </c>
      <c r="F247" s="256">
        <v>22</v>
      </c>
      <c r="G247" s="71">
        <v>2</v>
      </c>
    </row>
    <row r="248" spans="2:7" s="2" customFormat="1" ht="17" thickBot="1" x14ac:dyDescent="0.25">
      <c r="B248" s="257" t="s">
        <v>2</v>
      </c>
      <c r="C248" s="263"/>
      <c r="D248" s="264"/>
      <c r="E248" s="260">
        <v>1006.1243968987831</v>
      </c>
      <c r="F248" s="261">
        <v>602098</v>
      </c>
      <c r="G248" s="262">
        <v>112</v>
      </c>
    </row>
    <row r="249" spans="2:7" ht="18" thickTop="1" thickBot="1" x14ac:dyDescent="0.25">
      <c r="B249" s="236"/>
      <c r="C249" s="265" t="s">
        <v>43</v>
      </c>
      <c r="D249" s="252"/>
      <c r="E249" s="253">
        <v>995.86173709388754</v>
      </c>
      <c r="F249" s="254">
        <v>580597</v>
      </c>
      <c r="G249" s="90">
        <v>89</v>
      </c>
    </row>
    <row r="250" spans="2:7" x14ac:dyDescent="0.2">
      <c r="B250" s="236"/>
      <c r="D250" s="247" t="s">
        <v>62</v>
      </c>
      <c r="E250" s="247">
        <v>5.3766276687383598E-4</v>
      </c>
      <c r="F250" s="248">
        <v>2</v>
      </c>
      <c r="G250" s="20">
        <v>1</v>
      </c>
    </row>
    <row r="251" spans="2:7" x14ac:dyDescent="0.2">
      <c r="B251" s="236"/>
      <c r="D251" s="247" t="s">
        <v>63</v>
      </c>
      <c r="E251" s="247">
        <v>76.396787067875223</v>
      </c>
      <c r="F251" s="248">
        <v>83503</v>
      </c>
      <c r="G251" s="20">
        <v>7</v>
      </c>
    </row>
    <row r="252" spans="2:7" x14ac:dyDescent="0.2">
      <c r="B252" s="236"/>
      <c r="D252" s="247" t="s">
        <v>64</v>
      </c>
      <c r="E252" s="247">
        <v>1.2729758629575278</v>
      </c>
      <c r="F252" s="248">
        <v>10079</v>
      </c>
      <c r="G252" s="20">
        <v>3</v>
      </c>
    </row>
    <row r="253" spans="2:7" x14ac:dyDescent="0.2">
      <c r="B253" s="236"/>
      <c r="D253" s="247" t="s">
        <v>66</v>
      </c>
      <c r="E253" s="247">
        <v>7.7849375084042497E-3</v>
      </c>
      <c r="F253" s="248">
        <v>1</v>
      </c>
      <c r="G253" s="20">
        <v>1</v>
      </c>
    </row>
    <row r="254" spans="2:7" x14ac:dyDescent="0.2">
      <c r="B254" s="236"/>
      <c r="D254" s="247" t="s">
        <v>67</v>
      </c>
      <c r="E254" s="247">
        <v>0.34543920215219187</v>
      </c>
      <c r="F254" s="248">
        <v>562</v>
      </c>
      <c r="G254" s="20">
        <v>2</v>
      </c>
    </row>
    <row r="255" spans="2:7" x14ac:dyDescent="0.2">
      <c r="B255" s="236"/>
      <c r="D255" s="247" t="s">
        <v>68</v>
      </c>
      <c r="E255" s="247">
        <v>0.12537607550621002</v>
      </c>
      <c r="F255" s="248">
        <v>170</v>
      </c>
      <c r="G255" s="20">
        <v>2</v>
      </c>
    </row>
    <row r="256" spans="2:7" x14ac:dyDescent="0.2">
      <c r="B256" s="236"/>
      <c r="D256" s="247" t="s">
        <v>70</v>
      </c>
      <c r="E256" s="247">
        <v>5.3198103019967649</v>
      </c>
      <c r="F256" s="248">
        <v>3727</v>
      </c>
      <c r="G256" s="20">
        <v>3</v>
      </c>
    </row>
    <row r="257" spans="2:7" x14ac:dyDescent="0.2">
      <c r="B257" s="236"/>
      <c r="D257" s="247" t="s">
        <v>71</v>
      </c>
      <c r="E257" s="247">
        <v>1.4081597328186E-4</v>
      </c>
      <c r="F257" s="248">
        <v>2</v>
      </c>
      <c r="G257" s="20">
        <v>2</v>
      </c>
    </row>
    <row r="258" spans="2:7" x14ac:dyDescent="0.2">
      <c r="B258" s="236"/>
      <c r="D258" s="247" t="s">
        <v>141</v>
      </c>
      <c r="E258" s="247">
        <v>0.1902947705239052</v>
      </c>
      <c r="F258" s="248">
        <v>180</v>
      </c>
      <c r="G258" s="20">
        <v>5</v>
      </c>
    </row>
    <row r="259" spans="2:7" x14ac:dyDescent="0.2">
      <c r="B259" s="236"/>
      <c r="D259" s="247" t="s">
        <v>75</v>
      </c>
      <c r="E259" s="247">
        <v>4.3402288109064102E-2</v>
      </c>
      <c r="F259" s="248">
        <v>38</v>
      </c>
      <c r="G259" s="20">
        <v>1</v>
      </c>
    </row>
    <row r="260" spans="2:7" x14ac:dyDescent="0.2">
      <c r="B260" s="236"/>
      <c r="D260" s="247" t="s">
        <v>76</v>
      </c>
      <c r="E260" s="247">
        <v>0.66286713350564197</v>
      </c>
      <c r="F260" s="248">
        <v>294</v>
      </c>
      <c r="G260" s="20">
        <v>3</v>
      </c>
    </row>
    <row r="261" spans="2:7" x14ac:dyDescent="0.2">
      <c r="B261" s="236"/>
      <c r="D261" s="247" t="s">
        <v>113</v>
      </c>
      <c r="E261" s="247">
        <v>1.03442929685115E-4</v>
      </c>
      <c r="F261" s="248">
        <v>1</v>
      </c>
      <c r="G261" s="20">
        <v>1</v>
      </c>
    </row>
    <row r="262" spans="2:7" x14ac:dyDescent="0.2">
      <c r="B262" s="236"/>
      <c r="D262" s="247" t="s">
        <v>172</v>
      </c>
      <c r="E262" s="247">
        <v>7.0055015385150896E-5</v>
      </c>
      <c r="F262" s="248">
        <v>1</v>
      </c>
      <c r="G262" s="20">
        <v>1</v>
      </c>
    </row>
    <row r="263" spans="2:7" x14ac:dyDescent="0.2">
      <c r="B263" s="236"/>
      <c r="D263" s="247" t="s">
        <v>80</v>
      </c>
      <c r="E263" s="247">
        <v>1.205833766609429</v>
      </c>
      <c r="F263" s="248">
        <v>1245</v>
      </c>
      <c r="G263" s="20">
        <v>2</v>
      </c>
    </row>
    <row r="264" spans="2:7" x14ac:dyDescent="0.2">
      <c r="B264" s="236"/>
      <c r="D264" s="247" t="s">
        <v>81</v>
      </c>
      <c r="E264" s="247">
        <v>2.2724801674485181E-3</v>
      </c>
      <c r="F264" s="248">
        <v>6</v>
      </c>
      <c r="G264" s="20">
        <v>5</v>
      </c>
    </row>
    <row r="265" spans="2:7" x14ac:dyDescent="0.2">
      <c r="B265" s="236"/>
      <c r="D265" s="247" t="s">
        <v>87</v>
      </c>
      <c r="E265" s="247">
        <v>3.8055902346968602E-2</v>
      </c>
      <c r="F265" s="248">
        <v>36</v>
      </c>
      <c r="G265" s="20">
        <v>1</v>
      </c>
    </row>
    <row r="266" spans="2:7" x14ac:dyDescent="0.2">
      <c r="B266" s="236"/>
      <c r="D266" s="247" t="s">
        <v>55</v>
      </c>
      <c r="E266" s="247">
        <v>0.1141677070409059</v>
      </c>
      <c r="F266" s="248">
        <v>72</v>
      </c>
      <c r="G266" s="20">
        <v>2</v>
      </c>
    </row>
    <row r="267" spans="2:7" x14ac:dyDescent="0.2">
      <c r="B267" s="236"/>
      <c r="D267" s="247" t="s">
        <v>88</v>
      </c>
      <c r="E267" s="247">
        <v>2.0735897123813599E-5</v>
      </c>
      <c r="F267" s="248">
        <v>1</v>
      </c>
      <c r="G267" s="20">
        <v>1</v>
      </c>
    </row>
    <row r="268" spans="2:7" x14ac:dyDescent="0.2">
      <c r="B268" s="236"/>
      <c r="D268" s="247" t="s">
        <v>89</v>
      </c>
      <c r="E268" s="247">
        <v>0.50745231192558948</v>
      </c>
      <c r="F268" s="248">
        <v>932</v>
      </c>
      <c r="G268" s="20">
        <v>2</v>
      </c>
    </row>
    <row r="269" spans="2:7" x14ac:dyDescent="0.2">
      <c r="B269" s="236"/>
      <c r="D269" s="247" t="s">
        <v>91</v>
      </c>
      <c r="E269" s="247">
        <v>0.39630388189107146</v>
      </c>
      <c r="F269" s="248">
        <v>975</v>
      </c>
      <c r="G269" s="20">
        <v>2</v>
      </c>
    </row>
    <row r="270" spans="2:7" x14ac:dyDescent="0.2">
      <c r="B270" s="236"/>
      <c r="D270" s="247" t="s">
        <v>180</v>
      </c>
      <c r="E270" s="247">
        <v>3.8055902346968602E-2</v>
      </c>
      <c r="F270" s="248">
        <v>36</v>
      </c>
      <c r="G270" s="20">
        <v>1</v>
      </c>
    </row>
    <row r="271" spans="2:7" x14ac:dyDescent="0.2">
      <c r="B271" s="236"/>
      <c r="D271" s="247" t="s">
        <v>96</v>
      </c>
      <c r="E271" s="247">
        <v>8.6336117237806201E-4</v>
      </c>
      <c r="F271" s="248">
        <v>6</v>
      </c>
      <c r="G271" s="20">
        <v>3</v>
      </c>
    </row>
    <row r="272" spans="2:7" x14ac:dyDescent="0.2">
      <c r="B272" s="236"/>
      <c r="D272" s="247" t="s">
        <v>99</v>
      </c>
      <c r="E272" s="247">
        <v>1.55221670866012E-4</v>
      </c>
      <c r="F272" s="248">
        <v>3</v>
      </c>
      <c r="G272" s="20">
        <v>1</v>
      </c>
    </row>
    <row r="273" spans="2:7" x14ac:dyDescent="0.2">
      <c r="B273" s="236"/>
      <c r="D273" s="247" t="s">
        <v>101</v>
      </c>
      <c r="E273" s="247">
        <v>1.98562966845929</v>
      </c>
      <c r="F273" s="248">
        <v>8836</v>
      </c>
      <c r="G273" s="20">
        <v>1</v>
      </c>
    </row>
    <row r="274" spans="2:7" x14ac:dyDescent="0.2">
      <c r="B274" s="236"/>
      <c r="D274" s="247" t="s">
        <v>103</v>
      </c>
      <c r="E274" s="247">
        <v>3.1939707696437802E-5</v>
      </c>
      <c r="F274" s="248">
        <v>1</v>
      </c>
      <c r="G274" s="20">
        <v>1</v>
      </c>
    </row>
    <row r="275" spans="2:7" x14ac:dyDescent="0.2">
      <c r="B275" s="236"/>
      <c r="D275" s="247" t="s">
        <v>105</v>
      </c>
      <c r="E275" s="247">
        <v>2.2878870368003799E-4</v>
      </c>
      <c r="F275" s="248">
        <v>4</v>
      </c>
      <c r="G275" s="20">
        <v>3</v>
      </c>
    </row>
    <row r="276" spans="2:7" x14ac:dyDescent="0.2">
      <c r="B276" s="236"/>
      <c r="D276" s="247" t="s">
        <v>58</v>
      </c>
      <c r="E276" s="247">
        <v>1.01010873913764E-3</v>
      </c>
      <c r="F276" s="248">
        <v>1</v>
      </c>
      <c r="G276" s="20">
        <v>1</v>
      </c>
    </row>
    <row r="277" spans="2:7" x14ac:dyDescent="0.2">
      <c r="B277" s="236"/>
      <c r="D277" s="247" t="s">
        <v>59</v>
      </c>
      <c r="E277" s="247">
        <v>907.20592712797156</v>
      </c>
      <c r="F277" s="248">
        <v>469881</v>
      </c>
      <c r="G277" s="20">
        <v>30</v>
      </c>
    </row>
    <row r="278" spans="2:7" ht="17" thickBot="1" x14ac:dyDescent="0.25">
      <c r="B278" s="236"/>
      <c r="D278" s="255" t="s">
        <v>108</v>
      </c>
      <c r="E278" s="255">
        <v>1.3857241719961101E-4</v>
      </c>
      <c r="F278" s="256">
        <v>2</v>
      </c>
      <c r="G278" s="71">
        <v>1</v>
      </c>
    </row>
    <row r="279" spans="2:7" ht="17" thickBot="1" x14ac:dyDescent="0.25">
      <c r="B279" s="236"/>
      <c r="C279" s="266" t="s">
        <v>45</v>
      </c>
      <c r="D279" s="267"/>
      <c r="E279" s="268">
        <v>10.262659804895511</v>
      </c>
      <c r="F279" s="269">
        <v>21501</v>
      </c>
      <c r="G279" s="270">
        <v>23</v>
      </c>
    </row>
    <row r="280" spans="2:7" x14ac:dyDescent="0.2">
      <c r="B280" s="236"/>
      <c r="D280" s="247" t="s">
        <v>63</v>
      </c>
      <c r="E280" s="247">
        <v>7.2438269853591902E-6</v>
      </c>
      <c r="F280" s="248">
        <v>1</v>
      </c>
      <c r="G280" s="20">
        <v>1</v>
      </c>
    </row>
    <row r="281" spans="2:7" x14ac:dyDescent="0.2">
      <c r="B281" s="236"/>
      <c r="D281" s="247" t="s">
        <v>64</v>
      </c>
      <c r="E281" s="247">
        <v>6.5234144218265996E-2</v>
      </c>
      <c r="F281" s="248">
        <v>1692</v>
      </c>
      <c r="G281" s="20">
        <v>1</v>
      </c>
    </row>
    <row r="282" spans="2:7" x14ac:dyDescent="0.2">
      <c r="B282" s="236"/>
      <c r="D282" s="247" t="s">
        <v>111</v>
      </c>
      <c r="E282" s="247">
        <v>2.13088560849428E-3</v>
      </c>
      <c r="F282" s="248">
        <v>4</v>
      </c>
      <c r="G282" s="20">
        <v>1</v>
      </c>
    </row>
    <row r="283" spans="2:7" x14ac:dyDescent="0.2">
      <c r="B283" s="236"/>
      <c r="D283" s="247" t="s">
        <v>68</v>
      </c>
      <c r="E283" s="247">
        <v>0.98850100859999601</v>
      </c>
      <c r="F283" s="248">
        <v>1806</v>
      </c>
      <c r="G283" s="20">
        <v>1</v>
      </c>
    </row>
    <row r="284" spans="2:7" x14ac:dyDescent="0.2">
      <c r="B284" s="236"/>
      <c r="D284" s="247" t="s">
        <v>75</v>
      </c>
      <c r="E284" s="247">
        <v>1.9595175981521602E-3</v>
      </c>
      <c r="F284" s="248">
        <v>2</v>
      </c>
      <c r="G284" s="20">
        <v>1</v>
      </c>
    </row>
    <row r="285" spans="2:7" x14ac:dyDescent="0.2">
      <c r="B285" s="236"/>
      <c r="D285" s="247" t="s">
        <v>76</v>
      </c>
      <c r="E285" s="247">
        <v>1.0741259902715601E-3</v>
      </c>
      <c r="F285" s="248">
        <v>1</v>
      </c>
      <c r="G285" s="20">
        <v>1</v>
      </c>
    </row>
    <row r="286" spans="2:7" x14ac:dyDescent="0.2">
      <c r="B286" s="236"/>
      <c r="D286" s="247" t="s">
        <v>113</v>
      </c>
      <c r="E286" s="247">
        <v>1.46692618727684E-5</v>
      </c>
      <c r="F286" s="248">
        <v>2</v>
      </c>
      <c r="G286" s="20">
        <v>1</v>
      </c>
    </row>
    <row r="287" spans="2:7" x14ac:dyDescent="0.2">
      <c r="B287" s="236"/>
      <c r="D287" s="247" t="s">
        <v>87</v>
      </c>
      <c r="E287" s="247">
        <v>0.72358962520956904</v>
      </c>
      <c r="F287" s="248">
        <v>1470</v>
      </c>
      <c r="G287" s="20">
        <v>1</v>
      </c>
    </row>
    <row r="288" spans="2:7" x14ac:dyDescent="0.2">
      <c r="B288" s="236"/>
      <c r="D288" s="247" t="s">
        <v>117</v>
      </c>
      <c r="E288" s="247">
        <v>6.0573220252990697E-6</v>
      </c>
      <c r="F288" s="248">
        <v>1</v>
      </c>
      <c r="G288" s="20">
        <v>1</v>
      </c>
    </row>
    <row r="289" spans="2:7" x14ac:dyDescent="0.2">
      <c r="B289" s="236"/>
      <c r="D289" s="247" t="s">
        <v>97</v>
      </c>
      <c r="E289" s="247">
        <v>5.5193901062011698E-5</v>
      </c>
      <c r="F289" s="248">
        <v>1</v>
      </c>
      <c r="G289" s="20">
        <v>1</v>
      </c>
    </row>
    <row r="290" spans="2:7" x14ac:dyDescent="0.2">
      <c r="B290" s="236"/>
      <c r="D290" s="247" t="s">
        <v>99</v>
      </c>
      <c r="E290" s="247">
        <v>9.7975879907608011E-4</v>
      </c>
      <c r="F290" s="248">
        <v>1</v>
      </c>
      <c r="G290" s="20">
        <v>1</v>
      </c>
    </row>
    <row r="291" spans="2:7" x14ac:dyDescent="0.2">
      <c r="B291" s="236"/>
      <c r="D291" s="247" t="s">
        <v>100</v>
      </c>
      <c r="E291" s="247">
        <v>9.7975879907608011E-4</v>
      </c>
      <c r="F291" s="248">
        <v>1</v>
      </c>
      <c r="G291" s="20">
        <v>1</v>
      </c>
    </row>
    <row r="292" spans="2:7" x14ac:dyDescent="0.2">
      <c r="B292" s="236"/>
      <c r="D292" s="247" t="s">
        <v>58</v>
      </c>
      <c r="E292" s="247">
        <v>9.7975879907608011E-4</v>
      </c>
      <c r="F292" s="248">
        <v>1</v>
      </c>
      <c r="G292" s="20">
        <v>1</v>
      </c>
    </row>
    <row r="293" spans="2:7" ht="17" thickBot="1" x14ac:dyDescent="0.25">
      <c r="B293" s="236"/>
      <c r="D293" s="255" t="s">
        <v>59</v>
      </c>
      <c r="E293" s="255">
        <v>8.4771480569615889</v>
      </c>
      <c r="F293" s="256">
        <v>16518</v>
      </c>
      <c r="G293" s="71">
        <v>10</v>
      </c>
    </row>
    <row r="294" spans="2:7" ht="17" thickBot="1" x14ac:dyDescent="0.25">
      <c r="B294" s="257" t="s">
        <v>3</v>
      </c>
      <c r="C294" s="258"/>
      <c r="D294" s="259"/>
      <c r="E294" s="260">
        <v>27048.564936637777</v>
      </c>
      <c r="F294" s="261">
        <v>15001545</v>
      </c>
      <c r="G294" s="262">
        <v>219</v>
      </c>
    </row>
    <row r="295" spans="2:7" ht="18" thickTop="1" thickBot="1" x14ac:dyDescent="0.25">
      <c r="B295" s="236"/>
      <c r="C295" s="265" t="s">
        <v>189</v>
      </c>
      <c r="D295" s="252"/>
      <c r="E295" s="253">
        <v>0.35467074997723103</v>
      </c>
      <c r="F295" s="254">
        <v>2</v>
      </c>
      <c r="G295" s="90">
        <v>1</v>
      </c>
    </row>
    <row r="296" spans="2:7" ht="17" thickBot="1" x14ac:dyDescent="0.25">
      <c r="B296" s="236"/>
      <c r="D296" s="255" t="s">
        <v>91</v>
      </c>
      <c r="E296" s="255">
        <v>0.35467074997723103</v>
      </c>
      <c r="F296" s="256">
        <v>2</v>
      </c>
      <c r="G296" s="71">
        <v>1</v>
      </c>
    </row>
    <row r="297" spans="2:7" s="2" customFormat="1" ht="17" thickBot="1" x14ac:dyDescent="0.25">
      <c r="B297" s="235"/>
      <c r="C297" s="266" t="s">
        <v>47</v>
      </c>
      <c r="D297" s="267"/>
      <c r="E297" s="268">
        <v>852.67322750668768</v>
      </c>
      <c r="F297" s="269">
        <v>330275</v>
      </c>
      <c r="G297" s="270">
        <v>46</v>
      </c>
    </row>
    <row r="298" spans="2:7" x14ac:dyDescent="0.2">
      <c r="B298" s="236"/>
      <c r="D298" s="247" t="s">
        <v>63</v>
      </c>
      <c r="E298" s="247">
        <v>8.9241750538349097E-4</v>
      </c>
      <c r="F298" s="248">
        <v>0</v>
      </c>
      <c r="G298" s="20">
        <v>1</v>
      </c>
    </row>
    <row r="299" spans="2:7" x14ac:dyDescent="0.2">
      <c r="B299" s="236"/>
      <c r="D299" s="247" t="s">
        <v>67</v>
      </c>
      <c r="E299" s="247">
        <v>0.97428738977760021</v>
      </c>
      <c r="F299" s="248">
        <v>1646</v>
      </c>
      <c r="G299" s="20">
        <v>2</v>
      </c>
    </row>
    <row r="300" spans="2:7" x14ac:dyDescent="0.2">
      <c r="B300" s="236"/>
      <c r="D300" s="247" t="s">
        <v>68</v>
      </c>
      <c r="E300" s="247">
        <v>4.0954153984784997E-2</v>
      </c>
      <c r="F300" s="248">
        <v>1</v>
      </c>
      <c r="G300" s="20">
        <v>1</v>
      </c>
    </row>
    <row r="301" spans="2:7" x14ac:dyDescent="0.2">
      <c r="B301" s="236"/>
      <c r="D301" s="247" t="s">
        <v>69</v>
      </c>
      <c r="E301" s="247">
        <v>1.34313479065895E-4</v>
      </c>
      <c r="F301" s="248">
        <v>2</v>
      </c>
      <c r="G301" s="20">
        <v>1</v>
      </c>
    </row>
    <row r="302" spans="2:7" x14ac:dyDescent="0.2">
      <c r="B302" s="236"/>
      <c r="D302" s="247" t="s">
        <v>70</v>
      </c>
      <c r="E302" s="247">
        <v>165.40350034367199</v>
      </c>
      <c r="F302" s="248">
        <v>40646</v>
      </c>
      <c r="G302" s="20">
        <v>1</v>
      </c>
    </row>
    <row r="303" spans="2:7" x14ac:dyDescent="0.2">
      <c r="B303" s="236"/>
      <c r="D303" s="247" t="s">
        <v>72</v>
      </c>
      <c r="E303" s="247">
        <v>4.0281563997268602E-5</v>
      </c>
      <c r="F303" s="248">
        <v>1</v>
      </c>
      <c r="G303" s="20">
        <v>1</v>
      </c>
    </row>
    <row r="304" spans="2:7" x14ac:dyDescent="0.2">
      <c r="B304" s="236"/>
      <c r="D304" s="247" t="s">
        <v>141</v>
      </c>
      <c r="E304" s="247">
        <v>1.6256980597972799E-4</v>
      </c>
      <c r="F304" s="248">
        <v>1</v>
      </c>
      <c r="G304" s="20">
        <v>3</v>
      </c>
    </row>
    <row r="305" spans="2:7" x14ac:dyDescent="0.2">
      <c r="B305" s="236"/>
      <c r="D305" s="247" t="s">
        <v>76</v>
      </c>
      <c r="E305" s="247">
        <v>53.388199610635574</v>
      </c>
      <c r="F305" s="248">
        <v>14407</v>
      </c>
      <c r="G305" s="20">
        <v>2</v>
      </c>
    </row>
    <row r="306" spans="2:7" x14ac:dyDescent="0.2">
      <c r="B306" s="236"/>
      <c r="D306" s="247" t="s">
        <v>54</v>
      </c>
      <c r="E306" s="247">
        <v>1.2678094208240501E-5</v>
      </c>
      <c r="F306" s="248">
        <v>1</v>
      </c>
      <c r="G306" s="20">
        <v>1</v>
      </c>
    </row>
    <row r="307" spans="2:7" x14ac:dyDescent="0.2">
      <c r="B307" s="236"/>
      <c r="D307" s="247" t="s">
        <v>80</v>
      </c>
      <c r="E307" s="247">
        <v>1.6411852091550799E-2</v>
      </c>
      <c r="F307" s="248">
        <v>67</v>
      </c>
      <c r="G307" s="20">
        <v>1</v>
      </c>
    </row>
    <row r="308" spans="2:7" x14ac:dyDescent="0.2">
      <c r="B308" s="236"/>
      <c r="D308" s="247" t="s">
        <v>81</v>
      </c>
      <c r="E308" s="247">
        <v>3.3990210853516993E-2</v>
      </c>
      <c r="F308" s="248">
        <v>6</v>
      </c>
      <c r="G308" s="20">
        <v>2</v>
      </c>
    </row>
    <row r="309" spans="2:7" x14ac:dyDescent="0.2">
      <c r="B309" s="236"/>
      <c r="D309" s="247" t="s">
        <v>87</v>
      </c>
      <c r="E309" s="247">
        <v>5.3250314667820896E-3</v>
      </c>
      <c r="F309" s="248">
        <v>7</v>
      </c>
      <c r="G309" s="20">
        <v>1</v>
      </c>
    </row>
    <row r="310" spans="2:7" x14ac:dyDescent="0.2">
      <c r="B310" s="236"/>
      <c r="D310" s="247" t="s">
        <v>173</v>
      </c>
      <c r="E310" s="247">
        <v>0.29432602971792199</v>
      </c>
      <c r="F310" s="248">
        <v>80</v>
      </c>
      <c r="G310" s="20">
        <v>1</v>
      </c>
    </row>
    <row r="311" spans="2:7" x14ac:dyDescent="0.2">
      <c r="B311" s="236"/>
      <c r="D311" s="247" t="s">
        <v>55</v>
      </c>
      <c r="E311" s="247">
        <v>75.269493776373551</v>
      </c>
      <c r="F311" s="248">
        <v>21649</v>
      </c>
      <c r="G311" s="20">
        <v>2</v>
      </c>
    </row>
    <row r="312" spans="2:7" x14ac:dyDescent="0.2">
      <c r="B312" s="236"/>
      <c r="D312" s="247" t="s">
        <v>92</v>
      </c>
      <c r="E312" s="247">
        <v>5.82262873649597E-6</v>
      </c>
      <c r="F312" s="248">
        <v>1</v>
      </c>
      <c r="G312" s="20">
        <v>1</v>
      </c>
    </row>
    <row r="313" spans="2:7" x14ac:dyDescent="0.2">
      <c r="B313" s="236"/>
      <c r="D313" s="247" t="s">
        <v>180</v>
      </c>
      <c r="E313" s="247">
        <v>1.61938369274139E-4</v>
      </c>
      <c r="F313" s="248">
        <v>1</v>
      </c>
      <c r="G313" s="20">
        <v>1</v>
      </c>
    </row>
    <row r="314" spans="2:7" x14ac:dyDescent="0.2">
      <c r="B314" s="236"/>
      <c r="D314" s="247" t="s">
        <v>95</v>
      </c>
      <c r="E314" s="247">
        <v>1.1638738214969599E-5</v>
      </c>
      <c r="F314" s="248">
        <v>1</v>
      </c>
      <c r="G314" s="20">
        <v>1</v>
      </c>
    </row>
    <row r="315" spans="2:7" x14ac:dyDescent="0.2">
      <c r="B315" s="236"/>
      <c r="D315" s="247" t="s">
        <v>96</v>
      </c>
      <c r="E315" s="247">
        <v>1.7982786521315553E-3</v>
      </c>
      <c r="F315" s="248">
        <v>5</v>
      </c>
      <c r="G315" s="20">
        <v>3</v>
      </c>
    </row>
    <row r="316" spans="2:7" ht="17" thickBot="1" x14ac:dyDescent="0.25">
      <c r="B316" s="236"/>
      <c r="D316" s="255" t="s">
        <v>59</v>
      </c>
      <c r="E316" s="255">
        <v>557.24351916927742</v>
      </c>
      <c r="F316" s="256">
        <v>251753</v>
      </c>
      <c r="G316" s="71">
        <v>20</v>
      </c>
    </row>
    <row r="317" spans="2:7" ht="17" thickBot="1" x14ac:dyDescent="0.25">
      <c r="B317" s="236"/>
      <c r="C317" s="266" t="s">
        <v>49</v>
      </c>
      <c r="D317" s="267"/>
      <c r="E317" s="268">
        <v>22063.659571391432</v>
      </c>
      <c r="F317" s="269">
        <v>7074145</v>
      </c>
      <c r="G317" s="270">
        <v>81</v>
      </c>
    </row>
    <row r="318" spans="2:7" x14ac:dyDescent="0.2">
      <c r="B318" s="236"/>
      <c r="D318" s="247" t="s">
        <v>61</v>
      </c>
      <c r="E318" s="247">
        <v>6.7799352109432193E-5</v>
      </c>
      <c r="F318" s="248">
        <v>1</v>
      </c>
      <c r="G318" s="20">
        <v>1</v>
      </c>
    </row>
    <row r="319" spans="2:7" x14ac:dyDescent="0.2">
      <c r="B319" s="236"/>
      <c r="D319" s="247" t="s">
        <v>63</v>
      </c>
      <c r="E319" s="247">
        <v>1.3706339523196173E-3</v>
      </c>
      <c r="F319" s="248">
        <v>3</v>
      </c>
      <c r="G319" s="20">
        <v>2</v>
      </c>
    </row>
    <row r="320" spans="2:7" x14ac:dyDescent="0.2">
      <c r="B320" s="236"/>
      <c r="D320" s="247" t="s">
        <v>64</v>
      </c>
      <c r="E320" s="247">
        <v>7.8236684203147793E-5</v>
      </c>
      <c r="F320" s="248">
        <v>1</v>
      </c>
      <c r="G320" s="20">
        <v>1</v>
      </c>
    </row>
    <row r="321" spans="2:7" x14ac:dyDescent="0.2">
      <c r="B321" s="236"/>
      <c r="D321" s="247" t="s">
        <v>111</v>
      </c>
      <c r="E321" s="247">
        <v>3.3986754715442603E-5</v>
      </c>
      <c r="F321" s="248">
        <v>1</v>
      </c>
      <c r="G321" s="20">
        <v>1</v>
      </c>
    </row>
    <row r="322" spans="2:7" x14ac:dyDescent="0.2">
      <c r="B322" s="236"/>
      <c r="D322" s="247" t="s">
        <v>67</v>
      </c>
      <c r="E322" s="247">
        <v>0.75680481828749091</v>
      </c>
      <c r="F322" s="248">
        <v>1234</v>
      </c>
      <c r="G322" s="20">
        <v>3</v>
      </c>
    </row>
    <row r="323" spans="2:7" x14ac:dyDescent="0.2">
      <c r="B323" s="236"/>
      <c r="D323" s="247" t="s">
        <v>169</v>
      </c>
      <c r="E323" s="247">
        <v>1.23288482427597E-5</v>
      </c>
      <c r="F323" s="248">
        <v>1</v>
      </c>
      <c r="G323" s="20">
        <v>1</v>
      </c>
    </row>
    <row r="324" spans="2:7" x14ac:dyDescent="0.2">
      <c r="B324" s="236"/>
      <c r="D324" s="247" t="s">
        <v>68</v>
      </c>
      <c r="E324" s="247">
        <v>1.832265406846995E-4</v>
      </c>
      <c r="F324" s="248">
        <v>3</v>
      </c>
      <c r="G324" s="20">
        <v>2</v>
      </c>
    </row>
    <row r="325" spans="2:7" x14ac:dyDescent="0.2">
      <c r="B325" s="236"/>
      <c r="D325" s="247" t="s">
        <v>70</v>
      </c>
      <c r="E325" s="247">
        <v>66.378477117978008</v>
      </c>
      <c r="F325" s="248">
        <v>15276</v>
      </c>
      <c r="G325" s="20">
        <v>6</v>
      </c>
    </row>
    <row r="326" spans="2:7" x14ac:dyDescent="0.2">
      <c r="B326" s="236"/>
      <c r="D326" s="247" t="s">
        <v>72</v>
      </c>
      <c r="E326" s="247">
        <v>6.8842009641230092E-2</v>
      </c>
      <c r="F326" s="248">
        <v>15</v>
      </c>
      <c r="G326" s="20">
        <v>2</v>
      </c>
    </row>
    <row r="327" spans="2:7" x14ac:dyDescent="0.2">
      <c r="B327" s="236"/>
      <c r="D327" s="247" t="s">
        <v>73</v>
      </c>
      <c r="E327" s="247">
        <v>5.1237642765045098E-5</v>
      </c>
      <c r="F327" s="248">
        <v>2</v>
      </c>
      <c r="G327" s="20">
        <v>2</v>
      </c>
    </row>
    <row r="328" spans="2:7" x14ac:dyDescent="0.2">
      <c r="B328" s="236"/>
      <c r="D328" s="247" t="s">
        <v>76</v>
      </c>
      <c r="E328" s="247">
        <v>27.400652550160785</v>
      </c>
      <c r="F328" s="248">
        <v>13797</v>
      </c>
      <c r="G328" s="20">
        <v>4</v>
      </c>
    </row>
    <row r="329" spans="2:7" x14ac:dyDescent="0.2">
      <c r="B329" s="236"/>
      <c r="D329" s="247" t="s">
        <v>80</v>
      </c>
      <c r="E329" s="247">
        <v>4.5451031997799797E-2</v>
      </c>
      <c r="F329" s="248">
        <v>212</v>
      </c>
      <c r="G329" s="20">
        <v>1</v>
      </c>
    </row>
    <row r="330" spans="2:7" x14ac:dyDescent="0.2">
      <c r="B330" s="236"/>
      <c r="D330" s="247" t="s">
        <v>81</v>
      </c>
      <c r="E330" s="247">
        <v>7.7063971199095235E-2</v>
      </c>
      <c r="F330" s="248">
        <v>4</v>
      </c>
      <c r="G330" s="20">
        <v>3</v>
      </c>
    </row>
    <row r="331" spans="2:7" x14ac:dyDescent="0.2">
      <c r="B331" s="236"/>
      <c r="D331" s="247" t="s">
        <v>85</v>
      </c>
      <c r="E331" s="247">
        <v>2.1955929696559899E-5</v>
      </c>
      <c r="F331" s="248">
        <v>3</v>
      </c>
      <c r="G331" s="20">
        <v>1</v>
      </c>
    </row>
    <row r="332" spans="2:7" x14ac:dyDescent="0.2">
      <c r="B332" s="236"/>
      <c r="D332" s="247" t="s">
        <v>87</v>
      </c>
      <c r="E332" s="247">
        <v>0.24744613468647</v>
      </c>
      <c r="F332" s="248">
        <v>31</v>
      </c>
      <c r="G332" s="20">
        <v>1</v>
      </c>
    </row>
    <row r="333" spans="2:7" x14ac:dyDescent="0.2">
      <c r="B333" s="236"/>
      <c r="D333" s="247" t="s">
        <v>115</v>
      </c>
      <c r="E333" s="247">
        <v>9.6000730991363498E-5</v>
      </c>
      <c r="F333" s="248">
        <v>1</v>
      </c>
      <c r="G333" s="20">
        <v>1</v>
      </c>
    </row>
    <row r="334" spans="2:7" x14ac:dyDescent="0.2">
      <c r="B334" s="236"/>
      <c r="D334" s="247" t="s">
        <v>55</v>
      </c>
      <c r="E334" s="247">
        <v>6.2545761466026306E-5</v>
      </c>
      <c r="F334" s="248">
        <v>1</v>
      </c>
      <c r="G334" s="20">
        <v>1</v>
      </c>
    </row>
    <row r="335" spans="2:7" x14ac:dyDescent="0.2">
      <c r="B335" s="236"/>
      <c r="D335" s="247" t="s">
        <v>90</v>
      </c>
      <c r="E335" s="247">
        <v>7.5002200901508304E-5</v>
      </c>
      <c r="F335" s="248">
        <v>1</v>
      </c>
      <c r="G335" s="20">
        <v>1</v>
      </c>
    </row>
    <row r="336" spans="2:7" x14ac:dyDescent="0.2">
      <c r="B336" s="236"/>
      <c r="D336" s="247" t="s">
        <v>96</v>
      </c>
      <c r="E336" s="247">
        <v>5.6047551333904201E-4</v>
      </c>
      <c r="F336" s="248">
        <v>2</v>
      </c>
      <c r="G336" s="20">
        <v>2</v>
      </c>
    </row>
    <row r="337" spans="2:7" x14ac:dyDescent="0.2">
      <c r="B337" s="236"/>
      <c r="D337" s="247" t="s">
        <v>120</v>
      </c>
      <c r="E337" s="247">
        <v>7.40401446819305E-6</v>
      </c>
      <c r="F337" s="248">
        <v>1</v>
      </c>
      <c r="G337" s="20">
        <v>1</v>
      </c>
    </row>
    <row r="338" spans="2:7" x14ac:dyDescent="0.2">
      <c r="B338" s="236"/>
      <c r="D338" s="247" t="s">
        <v>57</v>
      </c>
      <c r="E338" s="247">
        <v>3.6028492264449499E-2</v>
      </c>
      <c r="F338" s="248">
        <v>10</v>
      </c>
      <c r="G338" s="20">
        <v>1</v>
      </c>
    </row>
    <row r="339" spans="2:7" x14ac:dyDescent="0.2">
      <c r="B339" s="236"/>
      <c r="D339" s="247" t="s">
        <v>102</v>
      </c>
      <c r="E339" s="247">
        <v>3.43908658251166E-2</v>
      </c>
      <c r="F339" s="248">
        <v>10</v>
      </c>
      <c r="G339" s="20">
        <v>1</v>
      </c>
    </row>
    <row r="340" spans="2:7" x14ac:dyDescent="0.2">
      <c r="B340" s="236"/>
      <c r="D340" s="247" t="s">
        <v>124</v>
      </c>
      <c r="E340" s="247">
        <v>7.9908408224582604E-5</v>
      </c>
      <c r="F340" s="248">
        <v>1</v>
      </c>
      <c r="G340" s="20">
        <v>1</v>
      </c>
    </row>
    <row r="341" spans="2:7" x14ac:dyDescent="0.2">
      <c r="B341" s="236"/>
      <c r="D341" s="247" t="s">
        <v>104</v>
      </c>
      <c r="E341" s="247">
        <v>5.7231895625591209E-3</v>
      </c>
      <c r="F341" s="248">
        <v>10</v>
      </c>
      <c r="G341" s="20">
        <v>2</v>
      </c>
    </row>
    <row r="342" spans="2:7" ht="17" thickBot="1" x14ac:dyDescent="0.25">
      <c r="B342" s="236"/>
      <c r="D342" s="255" t="s">
        <v>59</v>
      </c>
      <c r="E342" s="255">
        <v>21968.605990467495</v>
      </c>
      <c r="F342" s="256">
        <v>7043524</v>
      </c>
      <c r="G342" s="71">
        <v>39</v>
      </c>
    </row>
    <row r="343" spans="2:7" ht="17" thickBot="1" x14ac:dyDescent="0.25">
      <c r="B343" s="236"/>
      <c r="C343" s="266" t="s">
        <v>139</v>
      </c>
      <c r="D343" s="267"/>
      <c r="E343" s="268">
        <v>4131.8774669896793</v>
      </c>
      <c r="F343" s="269">
        <v>7597123</v>
      </c>
      <c r="G343" s="270">
        <v>91</v>
      </c>
    </row>
    <row r="344" spans="2:7" x14ac:dyDescent="0.2">
      <c r="B344" s="236"/>
      <c r="D344" s="247" t="s">
        <v>61</v>
      </c>
      <c r="E344" s="247">
        <v>7.8571122139692296E-4</v>
      </c>
      <c r="F344" s="248">
        <v>4</v>
      </c>
      <c r="G344" s="20">
        <v>1</v>
      </c>
    </row>
    <row r="345" spans="2:7" x14ac:dyDescent="0.2">
      <c r="B345" s="236"/>
      <c r="D345" s="247" t="s">
        <v>63</v>
      </c>
      <c r="E345" s="247">
        <v>1.71884894371032E-5</v>
      </c>
      <c r="F345" s="248">
        <v>1</v>
      </c>
      <c r="G345" s="20">
        <v>1</v>
      </c>
    </row>
    <row r="346" spans="2:7" x14ac:dyDescent="0.2">
      <c r="B346" s="236"/>
      <c r="D346" s="247" t="s">
        <v>67</v>
      </c>
      <c r="E346" s="247">
        <v>6.0506910085678101E-4</v>
      </c>
      <c r="F346" s="248">
        <v>0</v>
      </c>
      <c r="G346" s="20">
        <v>1</v>
      </c>
    </row>
    <row r="347" spans="2:7" x14ac:dyDescent="0.2">
      <c r="B347" s="236"/>
      <c r="D347" s="247" t="s">
        <v>68</v>
      </c>
      <c r="E347" s="247">
        <v>1.0723923332989148E-2</v>
      </c>
      <c r="F347" s="248">
        <v>6</v>
      </c>
      <c r="G347" s="20">
        <v>2</v>
      </c>
    </row>
    <row r="348" spans="2:7" x14ac:dyDescent="0.2">
      <c r="B348" s="236"/>
      <c r="D348" s="247" t="s">
        <v>69</v>
      </c>
      <c r="E348" s="247">
        <v>3.9134174585342399E-6</v>
      </c>
      <c r="F348" s="248">
        <v>1</v>
      </c>
      <c r="G348" s="20">
        <v>1</v>
      </c>
    </row>
    <row r="349" spans="2:7" x14ac:dyDescent="0.2">
      <c r="B349" s="236"/>
      <c r="D349" s="247" t="s">
        <v>70</v>
      </c>
      <c r="E349" s="247">
        <v>1.781138032674788E-2</v>
      </c>
      <c r="F349" s="248">
        <v>17</v>
      </c>
      <c r="G349" s="20">
        <v>5</v>
      </c>
    </row>
    <row r="350" spans="2:7" x14ac:dyDescent="0.2">
      <c r="B350" s="236"/>
      <c r="D350" s="247" t="s">
        <v>71</v>
      </c>
      <c r="E350" s="247">
        <v>5.7343337684869697E-3</v>
      </c>
      <c r="F350" s="248">
        <v>4</v>
      </c>
      <c r="G350" s="20">
        <v>1</v>
      </c>
    </row>
    <row r="351" spans="2:7" x14ac:dyDescent="0.2">
      <c r="B351" s="236"/>
      <c r="D351" s="247" t="s">
        <v>75</v>
      </c>
      <c r="E351" s="247">
        <v>351.39108803588806</v>
      </c>
      <c r="F351" s="248">
        <v>320145</v>
      </c>
      <c r="G351" s="20">
        <v>5</v>
      </c>
    </row>
    <row r="352" spans="2:7" x14ac:dyDescent="0.2">
      <c r="B352" s="236"/>
      <c r="D352" s="247" t="s">
        <v>76</v>
      </c>
      <c r="E352" s="247">
        <v>1.608460996299971</v>
      </c>
      <c r="F352" s="248">
        <v>3643</v>
      </c>
      <c r="G352" s="20">
        <v>4</v>
      </c>
    </row>
    <row r="353" spans="2:7" x14ac:dyDescent="0.2">
      <c r="B353" s="236"/>
      <c r="D353" s="247" t="s">
        <v>80</v>
      </c>
      <c r="E353" s="247">
        <v>6.0804799320176199</v>
      </c>
      <c r="F353" s="248">
        <v>5799</v>
      </c>
      <c r="G353" s="20">
        <v>2</v>
      </c>
    </row>
    <row r="354" spans="2:7" x14ac:dyDescent="0.2">
      <c r="B354" s="236"/>
      <c r="D354" s="247" t="s">
        <v>82</v>
      </c>
      <c r="E354" s="247">
        <v>0.29564653057605</v>
      </c>
      <c r="F354" s="248">
        <v>279</v>
      </c>
      <c r="G354" s="20">
        <v>1</v>
      </c>
    </row>
    <row r="355" spans="2:7" x14ac:dyDescent="0.2">
      <c r="B355" s="236"/>
      <c r="D355" s="247" t="s">
        <v>85</v>
      </c>
      <c r="E355" s="247">
        <v>31.2131230747327</v>
      </c>
      <c r="F355" s="248">
        <v>28274</v>
      </c>
      <c r="G355" s="20">
        <v>1</v>
      </c>
    </row>
    <row r="356" spans="2:7" x14ac:dyDescent="0.2">
      <c r="B356" s="236"/>
      <c r="D356" s="247" t="s">
        <v>86</v>
      </c>
      <c r="E356" s="247">
        <v>1.4102086424827499E-5</v>
      </c>
      <c r="F356" s="248">
        <v>1</v>
      </c>
      <c r="G356" s="20">
        <v>1</v>
      </c>
    </row>
    <row r="357" spans="2:7" x14ac:dyDescent="0.2">
      <c r="B357" s="236"/>
      <c r="D357" s="247" t="s">
        <v>55</v>
      </c>
      <c r="E357" s="247">
        <v>0.46021177992224599</v>
      </c>
      <c r="F357" s="248">
        <v>254</v>
      </c>
      <c r="G357" s="20">
        <v>1</v>
      </c>
    </row>
    <row r="358" spans="2:7" x14ac:dyDescent="0.2">
      <c r="B358" s="236"/>
      <c r="D358" s="247" t="s">
        <v>89</v>
      </c>
      <c r="E358" s="247">
        <v>1.563970930874339E-3</v>
      </c>
      <c r="F358" s="248">
        <v>10</v>
      </c>
      <c r="G358" s="20">
        <v>4</v>
      </c>
    </row>
    <row r="359" spans="2:7" x14ac:dyDescent="0.2">
      <c r="B359" s="236"/>
      <c r="D359" s="247" t="s">
        <v>91</v>
      </c>
      <c r="E359" s="247">
        <v>7.8012980520725218E-4</v>
      </c>
      <c r="F359" s="248">
        <v>4</v>
      </c>
      <c r="G359" s="20">
        <v>2</v>
      </c>
    </row>
    <row r="360" spans="2:7" x14ac:dyDescent="0.2">
      <c r="B360" s="236"/>
      <c r="D360" s="247" t="s">
        <v>94</v>
      </c>
      <c r="E360" s="247">
        <v>3.4592021256685197E-4</v>
      </c>
      <c r="F360" s="248">
        <v>2</v>
      </c>
      <c r="G360" s="20">
        <v>3</v>
      </c>
    </row>
    <row r="361" spans="2:7" x14ac:dyDescent="0.2">
      <c r="B361" s="236"/>
      <c r="D361" s="247" t="s">
        <v>96</v>
      </c>
      <c r="E361" s="247">
        <v>6.6340714693069406E-3</v>
      </c>
      <c r="F361" s="248">
        <v>4</v>
      </c>
      <c r="G361" s="20">
        <v>2</v>
      </c>
    </row>
    <row r="362" spans="2:7" x14ac:dyDescent="0.2">
      <c r="B362" s="236"/>
      <c r="D362" s="247" t="s">
        <v>56</v>
      </c>
      <c r="E362" s="247">
        <v>0.95247496385127295</v>
      </c>
      <c r="F362" s="248">
        <v>9048</v>
      </c>
      <c r="G362" s="20">
        <v>1</v>
      </c>
    </row>
    <row r="363" spans="2:7" x14ac:dyDescent="0.2">
      <c r="B363" s="236"/>
      <c r="D363" s="247" t="s">
        <v>97</v>
      </c>
      <c r="E363" s="247">
        <v>6.5668486058712006E-5</v>
      </c>
      <c r="F363" s="248">
        <v>1</v>
      </c>
      <c r="G363" s="20">
        <v>1</v>
      </c>
    </row>
    <row r="364" spans="2:7" x14ac:dyDescent="0.2">
      <c r="B364" s="236"/>
      <c r="D364" s="247" t="s">
        <v>99</v>
      </c>
      <c r="E364" s="247">
        <v>2.6032608002424202E-4</v>
      </c>
      <c r="F364" s="248">
        <v>0</v>
      </c>
      <c r="G364" s="20">
        <v>1</v>
      </c>
    </row>
    <row r="365" spans="2:7" x14ac:dyDescent="0.2">
      <c r="B365" s="236"/>
      <c r="D365" s="247" t="s">
        <v>101</v>
      </c>
      <c r="E365" s="247">
        <v>3.4186989068984897E-5</v>
      </c>
      <c r="F365" s="248">
        <v>1</v>
      </c>
      <c r="G365" s="20">
        <v>1</v>
      </c>
    </row>
    <row r="366" spans="2:7" x14ac:dyDescent="0.2">
      <c r="B366" s="236"/>
      <c r="D366" s="247" t="s">
        <v>105</v>
      </c>
      <c r="E366" s="247">
        <v>1.2398697435855799E-5</v>
      </c>
      <c r="F366" s="248">
        <v>1</v>
      </c>
      <c r="G366" s="20">
        <v>1</v>
      </c>
    </row>
    <row r="367" spans="2:7" x14ac:dyDescent="0.2">
      <c r="B367" s="236"/>
      <c r="D367" s="247" t="s">
        <v>58</v>
      </c>
      <c r="E367" s="247">
        <v>2.00707465410232E-4</v>
      </c>
      <c r="F367" s="248">
        <v>0</v>
      </c>
      <c r="G367" s="20">
        <v>1</v>
      </c>
    </row>
    <row r="368" spans="2:7" x14ac:dyDescent="0.2">
      <c r="B368" s="236"/>
      <c r="D368" s="247" t="s">
        <v>59</v>
      </c>
      <c r="E368" s="247">
        <v>3365.5483980495474</v>
      </c>
      <c r="F368" s="248">
        <v>7229624</v>
      </c>
      <c r="G368" s="20">
        <v>46</v>
      </c>
    </row>
    <row r="369" spans="2:7" ht="17" thickBot="1" x14ac:dyDescent="0.25">
      <c r="B369" s="242"/>
      <c r="D369" s="249" t="s">
        <v>60</v>
      </c>
      <c r="E369" s="249">
        <v>374.28199062496401</v>
      </c>
      <c r="F369" s="250">
        <v>0</v>
      </c>
      <c r="G369" s="251">
        <v>1</v>
      </c>
    </row>
    <row r="370" spans="2:7" s="2" customFormat="1" ht="17" thickBot="1" x14ac:dyDescent="0.25">
      <c r="B370" s="237"/>
      <c r="C370" s="238" t="s">
        <v>4</v>
      </c>
      <c r="D370" s="57"/>
      <c r="E370" s="239">
        <v>809061.69320482935</v>
      </c>
      <c r="F370" s="240">
        <v>148917322</v>
      </c>
      <c r="G370" s="241">
        <v>1613</v>
      </c>
    </row>
  </sheetData>
  <mergeCells count="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38"/>
  <sheetViews>
    <sheetView workbookViewId="0"/>
  </sheetViews>
  <sheetFormatPr baseColWidth="10" defaultRowHeight="16" x14ac:dyDescent="0.2"/>
  <cols>
    <col min="4" max="4" width="32.7109375" bestFit="1" customWidth="1"/>
    <col min="5" max="5" width="28.7109375" bestFit="1" customWidth="1"/>
    <col min="6" max="6" width="14.28515625" bestFit="1" customWidth="1"/>
    <col min="7" max="7" width="12.28515625" bestFit="1" customWidth="1"/>
  </cols>
  <sheetData>
    <row r="2" spans="2:15" ht="23" x14ac:dyDescent="0.2">
      <c r="C2" s="282" t="s">
        <v>160</v>
      </c>
      <c r="D2" s="282"/>
      <c r="E2" s="282"/>
      <c r="F2" s="282"/>
      <c r="G2" s="282"/>
      <c r="H2" s="282"/>
      <c r="I2" s="92"/>
      <c r="J2" s="92"/>
      <c r="K2" s="92"/>
      <c r="L2" s="92"/>
      <c r="M2" s="92"/>
      <c r="N2" s="92"/>
      <c r="O2" s="92"/>
    </row>
    <row r="3" spans="2:15" ht="18" x14ac:dyDescent="0.2">
      <c r="C3" s="280" t="s">
        <v>165</v>
      </c>
      <c r="D3" s="280"/>
      <c r="E3" s="280"/>
      <c r="F3" s="280"/>
      <c r="G3" s="280"/>
      <c r="H3" s="280"/>
    </row>
    <row r="4" spans="2:15" ht="17" thickBot="1" x14ac:dyDescent="0.25">
      <c r="B4" s="12"/>
      <c r="C4" s="12"/>
      <c r="D4" s="12"/>
      <c r="E4" s="12"/>
      <c r="F4" s="12"/>
      <c r="G4" s="12"/>
      <c r="H4" s="12"/>
      <c r="I4" s="12"/>
    </row>
    <row r="5" spans="2:15" ht="17" thickBot="1" x14ac:dyDescent="0.25">
      <c r="B5" s="6"/>
      <c r="C5" s="5" t="s">
        <v>28</v>
      </c>
      <c r="D5" s="188" t="s">
        <v>52</v>
      </c>
      <c r="E5" s="87" t="s">
        <v>53</v>
      </c>
      <c r="F5" s="16" t="s">
        <v>154</v>
      </c>
      <c r="G5" s="182" t="s">
        <v>155</v>
      </c>
      <c r="H5" s="182" t="s">
        <v>156</v>
      </c>
      <c r="I5" s="6"/>
    </row>
    <row r="6" spans="2:15" ht="17" thickBot="1" x14ac:dyDescent="0.25">
      <c r="B6" s="9"/>
      <c r="C6" s="190" t="s">
        <v>1</v>
      </c>
      <c r="D6" s="191"/>
      <c r="E6" s="191"/>
      <c r="F6" s="210">
        <v>781007.00387129269</v>
      </c>
      <c r="G6" s="211">
        <v>133313679</v>
      </c>
      <c r="H6" s="211">
        <v>1282</v>
      </c>
      <c r="I6" s="9"/>
    </row>
    <row r="7" spans="2:15" ht="18" thickTop="1" thickBot="1" x14ac:dyDescent="0.25">
      <c r="B7" s="9"/>
      <c r="C7" s="189"/>
      <c r="D7" s="203" t="s">
        <v>31</v>
      </c>
      <c r="E7" s="9"/>
      <c r="F7" s="199">
        <v>3.0238116160035051E-3</v>
      </c>
      <c r="G7" s="200">
        <v>11</v>
      </c>
      <c r="H7" s="201">
        <v>2</v>
      </c>
      <c r="I7" s="9"/>
    </row>
    <row r="8" spans="2:15" ht="17" thickBot="1" x14ac:dyDescent="0.25">
      <c r="B8" s="9"/>
      <c r="C8" s="189"/>
      <c r="D8" s="9"/>
      <c r="E8" s="204" t="s">
        <v>18</v>
      </c>
      <c r="F8" s="144">
        <v>3.0238116160035051E-3</v>
      </c>
      <c r="G8" s="104">
        <v>11</v>
      </c>
      <c r="H8" s="107">
        <v>2</v>
      </c>
      <c r="I8" s="9"/>
    </row>
    <row r="9" spans="2:15" ht="17" thickBot="1" x14ac:dyDescent="0.25">
      <c r="B9" s="9"/>
      <c r="C9" s="189"/>
      <c r="D9" s="148" t="s">
        <v>33</v>
      </c>
      <c r="E9" s="194"/>
      <c r="F9" s="212">
        <v>8297.4534823745289</v>
      </c>
      <c r="G9" s="213">
        <v>190177</v>
      </c>
      <c r="H9" s="213">
        <v>181</v>
      </c>
      <c r="I9" s="9"/>
    </row>
    <row r="10" spans="2:15" x14ac:dyDescent="0.2">
      <c r="B10" s="9"/>
      <c r="C10" s="189"/>
      <c r="D10" s="9"/>
      <c r="E10" s="204" t="s">
        <v>8</v>
      </c>
      <c r="F10" s="144">
        <v>214.86160268355101</v>
      </c>
      <c r="G10" s="104">
        <v>915</v>
      </c>
      <c r="H10" s="107">
        <v>1</v>
      </c>
      <c r="I10" s="9"/>
    </row>
    <row r="11" spans="2:15" x14ac:dyDescent="0.2">
      <c r="B11" s="9"/>
      <c r="C11" s="189"/>
      <c r="D11" s="9"/>
      <c r="E11" s="204" t="s">
        <v>10</v>
      </c>
      <c r="F11" s="144">
        <v>2.6118545830249702</v>
      </c>
      <c r="G11" s="104">
        <v>17</v>
      </c>
      <c r="H11" s="107">
        <v>1</v>
      </c>
      <c r="I11" s="9"/>
    </row>
    <row r="12" spans="2:15" x14ac:dyDescent="0.2">
      <c r="B12" s="9"/>
      <c r="C12" s="189"/>
      <c r="D12" s="9"/>
      <c r="E12" s="204" t="s">
        <v>11</v>
      </c>
      <c r="F12" s="144">
        <v>0.24292747583240201</v>
      </c>
      <c r="G12" s="104">
        <v>1</v>
      </c>
      <c r="H12" s="107">
        <v>1</v>
      </c>
      <c r="I12" s="9"/>
    </row>
    <row r="13" spans="2:15" x14ac:dyDescent="0.2">
      <c r="B13" s="9"/>
      <c r="C13" s="189"/>
      <c r="D13" s="9"/>
      <c r="E13" s="204" t="s">
        <v>12</v>
      </c>
      <c r="F13" s="144">
        <v>8.8963488945737392</v>
      </c>
      <c r="G13" s="104">
        <v>36</v>
      </c>
      <c r="H13" s="107">
        <v>2</v>
      </c>
      <c r="I13" s="9"/>
    </row>
    <row r="14" spans="2:15" x14ac:dyDescent="0.2">
      <c r="B14" s="9"/>
      <c r="C14" s="189"/>
      <c r="D14" s="9"/>
      <c r="E14" s="204" t="s">
        <v>13</v>
      </c>
      <c r="F14" s="144">
        <v>2460.5168191464513</v>
      </c>
      <c r="G14" s="104">
        <v>10945</v>
      </c>
      <c r="H14" s="107">
        <v>22</v>
      </c>
      <c r="I14" s="9"/>
    </row>
    <row r="15" spans="2:15" x14ac:dyDescent="0.2">
      <c r="B15" s="9"/>
      <c r="C15" s="189"/>
      <c r="D15" s="9"/>
      <c r="E15" s="204" t="s">
        <v>15</v>
      </c>
      <c r="F15" s="144">
        <v>0.25334476213902202</v>
      </c>
      <c r="G15" s="104">
        <v>2</v>
      </c>
      <c r="H15" s="107">
        <v>1</v>
      </c>
      <c r="I15" s="9"/>
    </row>
    <row r="16" spans="2:15" x14ac:dyDescent="0.2">
      <c r="B16" s="9"/>
      <c r="C16" s="189"/>
      <c r="D16" s="9"/>
      <c r="E16" s="204" t="s">
        <v>16</v>
      </c>
      <c r="F16" s="144">
        <v>2.5268364697694703E-4</v>
      </c>
      <c r="G16" s="104">
        <v>1</v>
      </c>
      <c r="H16" s="107">
        <v>1</v>
      </c>
      <c r="I16" s="9"/>
    </row>
    <row r="17" spans="2:9" x14ac:dyDescent="0.2">
      <c r="B17" s="9"/>
      <c r="C17" s="189"/>
      <c r="D17" s="9"/>
      <c r="E17" s="204" t="s">
        <v>17</v>
      </c>
      <c r="F17" s="144">
        <v>23.528999737463806</v>
      </c>
      <c r="G17" s="104">
        <v>147013</v>
      </c>
      <c r="H17" s="107">
        <v>15</v>
      </c>
      <c r="I17" s="9"/>
    </row>
    <row r="18" spans="2:9" x14ac:dyDescent="0.2">
      <c r="B18" s="9"/>
      <c r="C18" s="189"/>
      <c r="D18" s="9"/>
      <c r="E18" s="204" t="s">
        <v>18</v>
      </c>
      <c r="F18" s="144">
        <v>8.7488489169627304</v>
      </c>
      <c r="G18" s="104">
        <v>6613</v>
      </c>
      <c r="H18" s="107">
        <v>127</v>
      </c>
      <c r="I18" s="9"/>
    </row>
    <row r="19" spans="2:9" x14ac:dyDescent="0.2">
      <c r="B19" s="9"/>
      <c r="C19" s="189"/>
      <c r="D19" s="9"/>
      <c r="E19" s="204" t="s">
        <v>128</v>
      </c>
      <c r="F19" s="144">
        <v>5461.4495778214095</v>
      </c>
      <c r="G19" s="104">
        <v>24123</v>
      </c>
      <c r="H19" s="107">
        <v>7</v>
      </c>
      <c r="I19" s="9"/>
    </row>
    <row r="20" spans="2:9" x14ac:dyDescent="0.2">
      <c r="B20" s="9"/>
      <c r="C20" s="189"/>
      <c r="D20" s="9"/>
      <c r="E20" s="204" t="s">
        <v>19</v>
      </c>
      <c r="F20" s="144">
        <v>0.247996665537357</v>
      </c>
      <c r="G20" s="104">
        <v>10</v>
      </c>
      <c r="H20" s="107">
        <v>1</v>
      </c>
      <c r="I20" s="9"/>
    </row>
    <row r="21" spans="2:9" x14ac:dyDescent="0.2">
      <c r="B21" s="9"/>
      <c r="C21" s="189"/>
      <c r="D21" s="9"/>
      <c r="E21" s="204" t="s">
        <v>20</v>
      </c>
      <c r="F21" s="144">
        <v>46.821302746422496</v>
      </c>
      <c r="G21" s="104">
        <v>211</v>
      </c>
      <c r="H21" s="107">
        <v>1</v>
      </c>
      <c r="I21" s="9"/>
    </row>
    <row r="22" spans="2:9" ht="17" thickBot="1" x14ac:dyDescent="0.25">
      <c r="B22" s="9"/>
      <c r="C22" s="189"/>
      <c r="D22" s="9"/>
      <c r="E22" s="204" t="s">
        <v>167</v>
      </c>
      <c r="F22" s="144">
        <v>69.273606257513094</v>
      </c>
      <c r="G22" s="104">
        <v>290</v>
      </c>
      <c r="H22" s="107">
        <v>1</v>
      </c>
      <c r="I22" s="9"/>
    </row>
    <row r="23" spans="2:9" ht="17" thickBot="1" x14ac:dyDescent="0.25">
      <c r="B23" s="9"/>
      <c r="C23" s="189"/>
      <c r="D23" s="148" t="s">
        <v>35</v>
      </c>
      <c r="E23" s="194"/>
      <c r="F23" s="195">
        <v>418.582455190828</v>
      </c>
      <c r="G23" s="196">
        <v>2947</v>
      </c>
      <c r="H23" s="197">
        <v>11</v>
      </c>
      <c r="I23" s="9"/>
    </row>
    <row r="24" spans="2:9" x14ac:dyDescent="0.2">
      <c r="B24" s="9"/>
      <c r="C24" s="189"/>
      <c r="D24" s="9"/>
      <c r="E24" s="204" t="s">
        <v>8</v>
      </c>
      <c r="F24" s="144">
        <v>107.810479228384</v>
      </c>
      <c r="G24" s="104">
        <v>850</v>
      </c>
      <c r="H24" s="107">
        <v>1</v>
      </c>
      <c r="I24" s="9"/>
    </row>
    <row r="25" spans="2:9" x14ac:dyDescent="0.2">
      <c r="B25" s="9"/>
      <c r="C25" s="189"/>
      <c r="D25" s="9"/>
      <c r="E25" s="204" t="s">
        <v>13</v>
      </c>
      <c r="F25" s="144">
        <v>92.365984908304995</v>
      </c>
      <c r="G25" s="104">
        <v>639</v>
      </c>
      <c r="H25" s="107">
        <v>5</v>
      </c>
      <c r="I25" s="9"/>
    </row>
    <row r="26" spans="2:9" x14ac:dyDescent="0.2">
      <c r="B26" s="9"/>
      <c r="C26" s="189"/>
      <c r="D26" s="9"/>
      <c r="E26" s="204" t="s">
        <v>17</v>
      </c>
      <c r="F26" s="144">
        <v>63.590177404694209</v>
      </c>
      <c r="G26" s="104">
        <v>409</v>
      </c>
      <c r="H26" s="107">
        <v>3</v>
      </c>
      <c r="I26" s="9"/>
    </row>
    <row r="27" spans="2:9" ht="17" thickBot="1" x14ac:dyDescent="0.25">
      <c r="B27" s="9"/>
      <c r="C27" s="189"/>
      <c r="D27" s="9"/>
      <c r="E27" s="205" t="s">
        <v>128</v>
      </c>
      <c r="F27" s="147">
        <v>154.81581364944483</v>
      </c>
      <c r="G27" s="106">
        <v>1049</v>
      </c>
      <c r="H27" s="108">
        <v>2</v>
      </c>
      <c r="I27" s="9"/>
    </row>
    <row r="28" spans="2:9" ht="17" thickBot="1" x14ac:dyDescent="0.25">
      <c r="B28" s="9"/>
      <c r="C28" s="189"/>
      <c r="D28" s="148" t="s">
        <v>37</v>
      </c>
      <c r="E28" s="194"/>
      <c r="F28" s="195">
        <v>9.2783179134130284E-2</v>
      </c>
      <c r="G28" s="196">
        <v>10</v>
      </c>
      <c r="H28" s="197">
        <v>4</v>
      </c>
      <c r="I28" s="9"/>
    </row>
    <row r="29" spans="2:9" ht="17" thickBot="1" x14ac:dyDescent="0.25">
      <c r="B29" s="9"/>
      <c r="C29" s="189"/>
      <c r="D29" s="9"/>
      <c r="E29" s="204" t="s">
        <v>18</v>
      </c>
      <c r="F29" s="144">
        <v>9.2783179134130284E-2</v>
      </c>
      <c r="G29" s="104">
        <v>10</v>
      </c>
      <c r="H29" s="107">
        <v>4</v>
      </c>
      <c r="I29" s="9"/>
    </row>
    <row r="30" spans="2:9" ht="17" thickBot="1" x14ac:dyDescent="0.25">
      <c r="B30" s="9"/>
      <c r="C30" s="189"/>
      <c r="D30" s="148" t="s">
        <v>39</v>
      </c>
      <c r="E30" s="194"/>
      <c r="F30" s="195">
        <v>215723.36799539698</v>
      </c>
      <c r="G30" s="196">
        <v>132947228</v>
      </c>
      <c r="H30" s="197">
        <v>522</v>
      </c>
      <c r="I30" s="9"/>
    </row>
    <row r="31" spans="2:9" x14ac:dyDescent="0.2">
      <c r="B31" s="9"/>
      <c r="C31" s="189"/>
      <c r="D31" s="9"/>
      <c r="E31" s="204" t="s">
        <v>6</v>
      </c>
      <c r="F31" s="144">
        <v>1.03242695331573E-4</v>
      </c>
      <c r="G31" s="104">
        <v>1</v>
      </c>
      <c r="H31" s="107">
        <v>1</v>
      </c>
      <c r="I31" s="9"/>
    </row>
    <row r="32" spans="2:9" x14ac:dyDescent="0.2">
      <c r="B32" s="9"/>
      <c r="C32" s="189"/>
      <c r="D32" s="9"/>
      <c r="E32" s="204" t="s">
        <v>7</v>
      </c>
      <c r="F32" s="144">
        <v>1.9782080138102101</v>
      </c>
      <c r="G32" s="104">
        <v>161</v>
      </c>
      <c r="H32" s="107">
        <v>1</v>
      </c>
      <c r="I32" s="9"/>
    </row>
    <row r="33" spans="2:9" x14ac:dyDescent="0.2">
      <c r="B33" s="9"/>
      <c r="C33" s="189"/>
      <c r="D33" s="9"/>
      <c r="E33" s="204" t="s">
        <v>8</v>
      </c>
      <c r="F33" s="144">
        <v>2.6372930053621499</v>
      </c>
      <c r="G33" s="104">
        <v>870</v>
      </c>
      <c r="H33" s="107">
        <v>1</v>
      </c>
      <c r="I33" s="9"/>
    </row>
    <row r="34" spans="2:9" x14ac:dyDescent="0.2">
      <c r="B34" s="9"/>
      <c r="C34" s="189"/>
      <c r="D34" s="9"/>
      <c r="E34" s="204" t="s">
        <v>9</v>
      </c>
      <c r="F34" s="144">
        <v>0.12927910871803699</v>
      </c>
      <c r="G34" s="104">
        <v>44</v>
      </c>
      <c r="H34" s="107">
        <v>1</v>
      </c>
      <c r="I34" s="9"/>
    </row>
    <row r="35" spans="2:9" x14ac:dyDescent="0.2">
      <c r="B35" s="9"/>
      <c r="C35" s="189"/>
      <c r="D35" s="9"/>
      <c r="E35" s="204" t="s">
        <v>10</v>
      </c>
      <c r="F35" s="144">
        <v>3.6501750349998398E-2</v>
      </c>
      <c r="G35" s="104">
        <v>8</v>
      </c>
      <c r="H35" s="107">
        <v>1</v>
      </c>
      <c r="I35" s="9"/>
    </row>
    <row r="36" spans="2:9" x14ac:dyDescent="0.2">
      <c r="B36" s="9"/>
      <c r="C36" s="189"/>
      <c r="D36" s="9"/>
      <c r="E36" s="204" t="s">
        <v>11</v>
      </c>
      <c r="F36" s="144">
        <v>9269.7978224558701</v>
      </c>
      <c r="G36" s="104">
        <v>1445798</v>
      </c>
      <c r="H36" s="107">
        <v>2</v>
      </c>
      <c r="I36" s="9"/>
    </row>
    <row r="37" spans="2:9" x14ac:dyDescent="0.2">
      <c r="B37" s="9"/>
      <c r="C37" s="189"/>
      <c r="D37" s="9"/>
      <c r="E37" s="204" t="s">
        <v>12</v>
      </c>
      <c r="F37" s="144">
        <v>10.786591124720788</v>
      </c>
      <c r="G37" s="104">
        <v>2595</v>
      </c>
      <c r="H37" s="107">
        <v>5</v>
      </c>
      <c r="I37" s="9"/>
    </row>
    <row r="38" spans="2:9" x14ac:dyDescent="0.2">
      <c r="B38" s="9"/>
      <c r="C38" s="189"/>
      <c r="D38" s="9"/>
      <c r="E38" s="204" t="s">
        <v>13</v>
      </c>
      <c r="F38" s="144">
        <v>18.948071022517965</v>
      </c>
      <c r="G38" s="104">
        <v>3750</v>
      </c>
      <c r="H38" s="107">
        <v>19</v>
      </c>
      <c r="I38" s="9"/>
    </row>
    <row r="39" spans="2:9" x14ac:dyDescent="0.2">
      <c r="B39" s="9"/>
      <c r="C39" s="189"/>
      <c r="D39" s="9"/>
      <c r="E39" s="204"/>
      <c r="F39" s="144">
        <v>0.1206236081197857</v>
      </c>
      <c r="G39" s="104">
        <v>32</v>
      </c>
      <c r="H39" s="107">
        <v>2</v>
      </c>
      <c r="I39" s="9"/>
    </row>
    <row r="40" spans="2:9" x14ac:dyDescent="0.2">
      <c r="B40" s="9"/>
      <c r="C40" s="189"/>
      <c r="D40" s="9"/>
      <c r="E40" s="204" t="s">
        <v>14</v>
      </c>
      <c r="F40" s="144">
        <v>0.28027046006172807</v>
      </c>
      <c r="G40" s="104">
        <v>98</v>
      </c>
      <c r="H40" s="107">
        <v>5</v>
      </c>
      <c r="I40" s="9"/>
    </row>
    <row r="41" spans="2:9" x14ac:dyDescent="0.2">
      <c r="B41" s="9"/>
      <c r="C41" s="189"/>
      <c r="D41" s="9"/>
      <c r="E41" s="204" t="s">
        <v>15</v>
      </c>
      <c r="F41" s="144">
        <v>57.256446369923594</v>
      </c>
      <c r="G41" s="104">
        <v>13908</v>
      </c>
      <c r="H41" s="107">
        <v>11</v>
      </c>
      <c r="I41" s="9"/>
    </row>
    <row r="42" spans="2:9" x14ac:dyDescent="0.2">
      <c r="B42" s="9"/>
      <c r="C42" s="189"/>
      <c r="D42" s="9"/>
      <c r="E42" s="204" t="s">
        <v>16</v>
      </c>
      <c r="F42" s="144">
        <v>3248.1741769658288</v>
      </c>
      <c r="G42" s="104">
        <v>82194340</v>
      </c>
      <c r="H42" s="107">
        <v>36</v>
      </c>
      <c r="I42" s="9"/>
    </row>
    <row r="43" spans="2:9" x14ac:dyDescent="0.2">
      <c r="B43" s="9"/>
      <c r="C43" s="189"/>
      <c r="D43" s="9"/>
      <c r="E43" s="204" t="s">
        <v>17</v>
      </c>
      <c r="F43" s="144">
        <v>6697.7597309155335</v>
      </c>
      <c r="G43" s="104">
        <v>1950525</v>
      </c>
      <c r="H43" s="107">
        <v>400</v>
      </c>
      <c r="I43" s="9"/>
    </row>
    <row r="44" spans="2:9" x14ac:dyDescent="0.2">
      <c r="B44" s="9"/>
      <c r="C44" s="189"/>
      <c r="D44" s="9"/>
      <c r="E44" s="204" t="s">
        <v>18</v>
      </c>
      <c r="F44" s="144">
        <v>196415.2965329744</v>
      </c>
      <c r="G44" s="104">
        <v>47335044</v>
      </c>
      <c r="H44" s="107">
        <v>30</v>
      </c>
      <c r="I44" s="9"/>
    </row>
    <row r="45" spans="2:9" x14ac:dyDescent="0.2">
      <c r="B45" s="9"/>
      <c r="C45" s="189"/>
      <c r="D45" s="9"/>
      <c r="E45" s="204" t="s">
        <v>128</v>
      </c>
      <c r="F45" s="144">
        <v>7.1489996276795781E-2</v>
      </c>
      <c r="G45" s="104">
        <v>33</v>
      </c>
      <c r="H45" s="107">
        <v>3</v>
      </c>
      <c r="I45" s="9"/>
    </row>
    <row r="46" spans="2:9" x14ac:dyDescent="0.2">
      <c r="B46" s="9"/>
      <c r="C46" s="189"/>
      <c r="D46" s="9"/>
      <c r="E46" s="204" t="s">
        <v>19</v>
      </c>
      <c r="F46" s="144">
        <v>4.2252486571669502E-2</v>
      </c>
      <c r="G46" s="104">
        <v>10</v>
      </c>
      <c r="H46" s="107">
        <v>2</v>
      </c>
      <c r="I46" s="9"/>
    </row>
    <row r="47" spans="2:9" ht="17" thickBot="1" x14ac:dyDescent="0.25">
      <c r="B47" s="9"/>
      <c r="C47" s="189"/>
      <c r="D47" s="9"/>
      <c r="E47" s="204" t="s">
        <v>20</v>
      </c>
      <c r="F47" s="144">
        <v>5.2601896226406E-2</v>
      </c>
      <c r="G47" s="104">
        <v>11</v>
      </c>
      <c r="H47" s="107">
        <v>2</v>
      </c>
      <c r="I47" s="9"/>
    </row>
    <row r="48" spans="2:9" ht="17" thickBot="1" x14ac:dyDescent="0.25">
      <c r="B48" s="9"/>
      <c r="C48" s="189"/>
      <c r="D48" s="148" t="s">
        <v>41</v>
      </c>
      <c r="E48" s="194"/>
      <c r="F48" s="195">
        <v>33.140986637212315</v>
      </c>
      <c r="G48" s="196">
        <v>11598</v>
      </c>
      <c r="H48" s="197">
        <v>37</v>
      </c>
      <c r="I48" s="9"/>
    </row>
    <row r="49" spans="2:9" x14ac:dyDescent="0.2">
      <c r="B49" s="9"/>
      <c r="C49" s="189"/>
      <c r="D49" s="9"/>
      <c r="E49" s="204" t="s">
        <v>7</v>
      </c>
      <c r="F49" s="144">
        <v>0.220799369737505</v>
      </c>
      <c r="G49" s="104">
        <v>6</v>
      </c>
      <c r="H49" s="107">
        <v>1</v>
      </c>
      <c r="I49" s="9"/>
    </row>
    <row r="50" spans="2:9" x14ac:dyDescent="0.2">
      <c r="B50" s="9"/>
      <c r="C50" s="189"/>
      <c r="D50" s="9"/>
      <c r="E50" s="204" t="s">
        <v>8</v>
      </c>
      <c r="F50" s="144">
        <v>7.2151113348081699</v>
      </c>
      <c r="G50" s="104">
        <v>906</v>
      </c>
      <c r="H50" s="107">
        <v>1</v>
      </c>
      <c r="I50" s="9"/>
    </row>
    <row r="51" spans="2:9" x14ac:dyDescent="0.2">
      <c r="B51" s="9"/>
      <c r="C51" s="189"/>
      <c r="D51" s="9"/>
      <c r="E51" s="204" t="s">
        <v>9</v>
      </c>
      <c r="F51" s="144">
        <v>5.3997846320271402E-2</v>
      </c>
      <c r="G51" s="104">
        <v>5</v>
      </c>
      <c r="H51" s="107">
        <v>1</v>
      </c>
      <c r="I51" s="9"/>
    </row>
    <row r="52" spans="2:9" x14ac:dyDescent="0.2">
      <c r="B52" s="9"/>
      <c r="C52" s="189"/>
      <c r="D52" s="9"/>
      <c r="E52" s="204" t="s">
        <v>13</v>
      </c>
      <c r="F52" s="144">
        <v>4.5450745038688165</v>
      </c>
      <c r="G52" s="104">
        <v>500</v>
      </c>
      <c r="H52" s="107">
        <v>3</v>
      </c>
      <c r="I52" s="9"/>
    </row>
    <row r="53" spans="2:9" x14ac:dyDescent="0.2">
      <c r="B53" s="9"/>
      <c r="C53" s="189"/>
      <c r="D53" s="9"/>
      <c r="E53" s="204" t="s">
        <v>14</v>
      </c>
      <c r="F53" s="144">
        <v>0.110270799137651</v>
      </c>
      <c r="G53" s="104">
        <v>7</v>
      </c>
      <c r="H53" s="107">
        <v>1</v>
      </c>
      <c r="I53" s="9"/>
    </row>
    <row r="54" spans="2:9" x14ac:dyDescent="0.2">
      <c r="B54" s="9"/>
      <c r="C54" s="189"/>
      <c r="D54" s="9"/>
      <c r="E54" s="204" t="s">
        <v>15</v>
      </c>
      <c r="F54" s="144">
        <v>1.59312011674046E-2</v>
      </c>
      <c r="G54" s="104">
        <v>1</v>
      </c>
      <c r="H54" s="107">
        <v>1</v>
      </c>
      <c r="I54" s="9"/>
    </row>
    <row r="55" spans="2:9" x14ac:dyDescent="0.2">
      <c r="B55" s="9"/>
      <c r="C55" s="189"/>
      <c r="D55" s="9"/>
      <c r="E55" s="204" t="s">
        <v>16</v>
      </c>
      <c r="F55" s="144">
        <v>1.48644829168915E-2</v>
      </c>
      <c r="G55" s="104">
        <v>25</v>
      </c>
      <c r="H55" s="107">
        <v>1</v>
      </c>
      <c r="I55" s="9"/>
    </row>
    <row r="56" spans="2:9" x14ac:dyDescent="0.2">
      <c r="B56" s="9"/>
      <c r="C56" s="189"/>
      <c r="D56" s="9"/>
      <c r="E56" s="204" t="s">
        <v>17</v>
      </c>
      <c r="F56" s="144">
        <v>1.4287883006036219</v>
      </c>
      <c r="G56" s="104">
        <v>7418</v>
      </c>
      <c r="H56" s="107">
        <v>6</v>
      </c>
      <c r="I56" s="9"/>
    </row>
    <row r="57" spans="2:9" x14ac:dyDescent="0.2">
      <c r="B57" s="9"/>
      <c r="C57" s="189"/>
      <c r="D57" s="9"/>
      <c r="E57" s="204" t="s">
        <v>18</v>
      </c>
      <c r="F57" s="144">
        <v>6.5159748373553139</v>
      </c>
      <c r="G57" s="104">
        <v>1138</v>
      </c>
      <c r="H57" s="107">
        <v>13</v>
      </c>
      <c r="I57" s="9"/>
    </row>
    <row r="58" spans="2:9" x14ac:dyDescent="0.2">
      <c r="B58" s="9"/>
      <c r="C58" s="189"/>
      <c r="D58" s="9"/>
      <c r="E58" s="204" t="s">
        <v>128</v>
      </c>
      <c r="F58" s="144">
        <v>12.985986574552944</v>
      </c>
      <c r="G58" s="104">
        <v>1590</v>
      </c>
      <c r="H58" s="107">
        <v>8</v>
      </c>
      <c r="I58" s="9"/>
    </row>
    <row r="59" spans="2:9" ht="17" thickBot="1" x14ac:dyDescent="0.25">
      <c r="B59" s="9"/>
      <c r="C59" s="189"/>
      <c r="D59" s="9"/>
      <c r="E59" s="204" t="s">
        <v>20</v>
      </c>
      <c r="F59" s="144">
        <v>3.4187386743724298E-2</v>
      </c>
      <c r="G59" s="104">
        <v>2</v>
      </c>
      <c r="H59" s="107">
        <v>1</v>
      </c>
      <c r="I59" s="9"/>
    </row>
    <row r="60" spans="2:9" ht="17" thickBot="1" x14ac:dyDescent="0.25">
      <c r="B60" s="9"/>
      <c r="C60" s="189"/>
      <c r="D60" s="148" t="s">
        <v>149</v>
      </c>
      <c r="E60" s="194"/>
      <c r="F60" s="195">
        <v>11647.622420799897</v>
      </c>
      <c r="G60" s="196">
        <v>62717</v>
      </c>
      <c r="H60" s="197">
        <v>200</v>
      </c>
      <c r="I60" s="9"/>
    </row>
    <row r="61" spans="2:9" x14ac:dyDescent="0.2">
      <c r="B61" s="9"/>
      <c r="C61" s="189"/>
      <c r="D61" s="9"/>
      <c r="E61" s="204" t="s">
        <v>7</v>
      </c>
      <c r="F61" s="144">
        <v>4.50390625</v>
      </c>
      <c r="G61" s="104">
        <v>11</v>
      </c>
      <c r="H61" s="107">
        <v>1</v>
      </c>
      <c r="I61" s="9"/>
    </row>
    <row r="62" spans="2:9" x14ac:dyDescent="0.2">
      <c r="B62" s="9"/>
      <c r="C62" s="189"/>
      <c r="D62" s="9"/>
      <c r="E62" s="204" t="s">
        <v>8</v>
      </c>
      <c r="F62" s="144">
        <v>7.8848782554268801</v>
      </c>
      <c r="G62" s="104">
        <v>163</v>
      </c>
      <c r="H62" s="107">
        <v>1</v>
      </c>
      <c r="I62" s="9"/>
    </row>
    <row r="63" spans="2:9" x14ac:dyDescent="0.2">
      <c r="B63" s="9"/>
      <c r="C63" s="189"/>
      <c r="D63" s="9"/>
      <c r="E63" s="204" t="s">
        <v>9</v>
      </c>
      <c r="F63" s="144">
        <v>1.1953125</v>
      </c>
      <c r="G63" s="104">
        <v>3</v>
      </c>
      <c r="H63" s="107">
        <v>1</v>
      </c>
      <c r="I63" s="9"/>
    </row>
    <row r="64" spans="2:9" x14ac:dyDescent="0.2">
      <c r="B64" s="9"/>
      <c r="C64" s="189"/>
      <c r="D64" s="9"/>
      <c r="E64" s="204" t="s">
        <v>10</v>
      </c>
      <c r="F64" s="144">
        <v>1.0455400524660901</v>
      </c>
      <c r="G64" s="104">
        <v>10</v>
      </c>
      <c r="H64" s="107">
        <v>1</v>
      </c>
      <c r="I64" s="9"/>
    </row>
    <row r="65" spans="2:9" x14ac:dyDescent="0.2">
      <c r="B65" s="9"/>
      <c r="C65" s="189"/>
      <c r="D65" s="9"/>
      <c r="E65" s="204" t="s">
        <v>12</v>
      </c>
      <c r="F65" s="144">
        <v>209.29807627201001</v>
      </c>
      <c r="G65" s="104">
        <v>622</v>
      </c>
      <c r="H65" s="107">
        <v>1</v>
      </c>
      <c r="I65" s="9"/>
    </row>
    <row r="66" spans="2:9" x14ac:dyDescent="0.2">
      <c r="B66" s="9"/>
      <c r="C66" s="189"/>
      <c r="D66" s="9"/>
      <c r="E66" s="204" t="s">
        <v>13</v>
      </c>
      <c r="F66" s="144">
        <v>4668.8235308928342</v>
      </c>
      <c r="G66" s="104">
        <v>20493</v>
      </c>
      <c r="H66" s="107">
        <v>22</v>
      </c>
      <c r="I66" s="9"/>
    </row>
    <row r="67" spans="2:9" x14ac:dyDescent="0.2">
      <c r="B67" s="9"/>
      <c r="C67" s="189"/>
      <c r="D67" s="9"/>
      <c r="E67" s="204" t="s">
        <v>15</v>
      </c>
      <c r="F67" s="144">
        <v>0.41491684317588778</v>
      </c>
      <c r="G67" s="104">
        <v>5</v>
      </c>
      <c r="H67" s="107">
        <v>2</v>
      </c>
      <c r="I67" s="9"/>
    </row>
    <row r="68" spans="2:9" x14ac:dyDescent="0.2">
      <c r="B68" s="9"/>
      <c r="C68" s="189"/>
      <c r="D68" s="9"/>
      <c r="E68" s="204" t="s">
        <v>16</v>
      </c>
      <c r="F68" s="144">
        <v>356.49445872940004</v>
      </c>
      <c r="G68" s="104">
        <v>2394</v>
      </c>
      <c r="H68" s="107">
        <v>5</v>
      </c>
      <c r="I68" s="9"/>
    </row>
    <row r="69" spans="2:9" x14ac:dyDescent="0.2">
      <c r="B69" s="9"/>
      <c r="C69" s="189"/>
      <c r="D69" s="9"/>
      <c r="E69" s="204" t="s">
        <v>17</v>
      </c>
      <c r="F69" s="144">
        <v>2400.7469996875111</v>
      </c>
      <c r="G69" s="104">
        <v>9671</v>
      </c>
      <c r="H69" s="107">
        <v>16</v>
      </c>
      <c r="I69" s="9"/>
    </row>
    <row r="70" spans="2:9" x14ac:dyDescent="0.2">
      <c r="B70" s="9"/>
      <c r="C70" s="189"/>
      <c r="D70" s="9"/>
      <c r="E70" s="204" t="s">
        <v>18</v>
      </c>
      <c r="F70" s="144">
        <v>45.570355945266712</v>
      </c>
      <c r="G70" s="104">
        <v>17161</v>
      </c>
      <c r="H70" s="107">
        <v>131</v>
      </c>
      <c r="I70" s="9"/>
    </row>
    <row r="71" spans="2:9" x14ac:dyDescent="0.2">
      <c r="B71" s="9"/>
      <c r="C71" s="189"/>
      <c r="D71" s="9"/>
      <c r="E71" s="204" t="s">
        <v>128</v>
      </c>
      <c r="F71" s="144">
        <v>3951.6423692135058</v>
      </c>
      <c r="G71" s="104">
        <v>12165</v>
      </c>
      <c r="H71" s="107">
        <v>17</v>
      </c>
      <c r="I71" s="9"/>
    </row>
    <row r="72" spans="2:9" x14ac:dyDescent="0.2">
      <c r="B72" s="9"/>
      <c r="C72" s="189"/>
      <c r="D72" s="9"/>
      <c r="E72" s="204" t="s">
        <v>19</v>
      </c>
      <c r="F72" s="144">
        <v>1.24090909957885E-3</v>
      </c>
      <c r="G72" s="104">
        <v>4</v>
      </c>
      <c r="H72" s="107">
        <v>1</v>
      </c>
      <c r="I72" s="9"/>
    </row>
    <row r="73" spans="2:9" ht="17" thickBot="1" x14ac:dyDescent="0.25">
      <c r="B73" s="9"/>
      <c r="C73" s="189"/>
      <c r="D73" s="9"/>
      <c r="E73" s="204" t="s">
        <v>20</v>
      </c>
      <c r="F73" s="144">
        <v>8.3524920046329401E-4</v>
      </c>
      <c r="G73" s="104">
        <v>15</v>
      </c>
      <c r="H73" s="107">
        <v>1</v>
      </c>
      <c r="I73" s="9"/>
    </row>
    <row r="74" spans="2:9" ht="17" thickBot="1" x14ac:dyDescent="0.25">
      <c r="B74" s="9"/>
      <c r="C74" s="189"/>
      <c r="D74" s="148" t="s">
        <v>152</v>
      </c>
      <c r="E74" s="194"/>
      <c r="F74" s="195">
        <v>544886.74072390248</v>
      </c>
      <c r="G74" s="196">
        <v>98991</v>
      </c>
      <c r="H74" s="197">
        <v>325</v>
      </c>
      <c r="I74" s="9"/>
    </row>
    <row r="75" spans="2:9" x14ac:dyDescent="0.2">
      <c r="B75" s="9"/>
      <c r="C75" s="189"/>
      <c r="D75" s="9"/>
      <c r="E75" s="204" t="s">
        <v>7</v>
      </c>
      <c r="F75" s="144">
        <v>0.106897190213203</v>
      </c>
      <c r="G75" s="104">
        <v>2</v>
      </c>
      <c r="H75" s="107">
        <v>1</v>
      </c>
      <c r="I75" s="9"/>
    </row>
    <row r="76" spans="2:9" x14ac:dyDescent="0.2">
      <c r="B76" s="9"/>
      <c r="C76" s="189"/>
      <c r="D76" s="9"/>
      <c r="E76" s="204" t="s">
        <v>8</v>
      </c>
      <c r="F76" s="144">
        <v>2.13367075379937</v>
      </c>
      <c r="G76" s="104">
        <v>1</v>
      </c>
      <c r="H76" s="107">
        <v>1</v>
      </c>
      <c r="I76" s="9"/>
    </row>
    <row r="77" spans="2:9" x14ac:dyDescent="0.2">
      <c r="B77" s="9"/>
      <c r="C77" s="189"/>
      <c r="D77" s="9"/>
      <c r="E77" s="204" t="s">
        <v>10</v>
      </c>
      <c r="F77" s="144">
        <v>4.8786156810820103E-2</v>
      </c>
      <c r="G77" s="104">
        <v>12</v>
      </c>
      <c r="H77" s="107">
        <v>1</v>
      </c>
      <c r="I77" s="9"/>
    </row>
    <row r="78" spans="2:9" x14ac:dyDescent="0.2">
      <c r="B78" s="9"/>
      <c r="C78" s="189"/>
      <c r="D78" s="9"/>
      <c r="E78" s="204" t="s">
        <v>12</v>
      </c>
      <c r="F78" s="144">
        <v>1.7279514083638705</v>
      </c>
      <c r="G78" s="104">
        <v>5</v>
      </c>
      <c r="H78" s="107">
        <v>2</v>
      </c>
      <c r="I78" s="9"/>
    </row>
    <row r="79" spans="2:9" x14ac:dyDescent="0.2">
      <c r="B79" s="9"/>
      <c r="C79" s="189"/>
      <c r="D79" s="9"/>
      <c r="E79" s="204" t="s">
        <v>13</v>
      </c>
      <c r="F79" s="144">
        <v>518193.03299091407</v>
      </c>
      <c r="G79" s="104">
        <v>32463</v>
      </c>
      <c r="H79" s="107">
        <v>9</v>
      </c>
      <c r="I79" s="9"/>
    </row>
    <row r="80" spans="2:9" x14ac:dyDescent="0.2">
      <c r="B80" s="9"/>
      <c r="C80" s="189"/>
      <c r="D80" s="9"/>
      <c r="E80" s="204" t="s">
        <v>15</v>
      </c>
      <c r="F80" s="144">
        <v>4.1124839335679999E-3</v>
      </c>
      <c r="G80" s="104">
        <v>5</v>
      </c>
      <c r="H80" s="107">
        <v>1</v>
      </c>
      <c r="I80" s="9"/>
    </row>
    <row r="81" spans="2:9" x14ac:dyDescent="0.2">
      <c r="B81" s="9"/>
      <c r="C81" s="189"/>
      <c r="D81" s="9"/>
      <c r="E81" s="204" t="s">
        <v>16</v>
      </c>
      <c r="F81" s="144">
        <v>5.8498587608337296</v>
      </c>
      <c r="G81" s="104">
        <v>4</v>
      </c>
      <c r="H81" s="107">
        <v>2</v>
      </c>
      <c r="I81" s="9"/>
    </row>
    <row r="82" spans="2:9" x14ac:dyDescent="0.2">
      <c r="B82" s="9"/>
      <c r="C82" s="189"/>
      <c r="D82" s="9"/>
      <c r="E82" s="204" t="s">
        <v>17</v>
      </c>
      <c r="F82" s="144">
        <v>8.4907951941713566</v>
      </c>
      <c r="G82" s="104">
        <v>6</v>
      </c>
      <c r="H82" s="107">
        <v>4</v>
      </c>
      <c r="I82" s="9"/>
    </row>
    <row r="83" spans="2:9" x14ac:dyDescent="0.2">
      <c r="B83" s="9"/>
      <c r="C83" s="189"/>
      <c r="D83" s="9"/>
      <c r="E83" s="204" t="s">
        <v>18</v>
      </c>
      <c r="F83" s="144">
        <v>19.419387333095038</v>
      </c>
      <c r="G83" s="104">
        <v>13875</v>
      </c>
      <c r="H83" s="107">
        <v>297</v>
      </c>
      <c r="I83" s="9"/>
    </row>
    <row r="84" spans="2:9" ht="17" customHeight="1" thickBot="1" x14ac:dyDescent="0.25">
      <c r="B84" s="9"/>
      <c r="C84" s="189"/>
      <c r="D84" s="9"/>
      <c r="E84" s="204" t="s">
        <v>128</v>
      </c>
      <c r="F84" s="144">
        <v>26655.926273707228</v>
      </c>
      <c r="G84" s="104">
        <v>52618</v>
      </c>
      <c r="H84" s="107">
        <v>7</v>
      </c>
      <c r="I84" s="9"/>
    </row>
    <row r="85" spans="2:9" ht="17" thickBot="1" x14ac:dyDescent="0.25">
      <c r="B85" s="9"/>
      <c r="C85" s="190" t="s">
        <v>2</v>
      </c>
      <c r="D85" s="191"/>
      <c r="E85" s="191"/>
      <c r="F85" s="192">
        <v>1006.1243968987831</v>
      </c>
      <c r="G85" s="193">
        <v>602098</v>
      </c>
      <c r="H85" s="198">
        <v>112</v>
      </c>
      <c r="I85" s="9"/>
    </row>
    <row r="86" spans="2:9" ht="18" thickTop="1" thickBot="1" x14ac:dyDescent="0.25">
      <c r="B86" s="9"/>
      <c r="C86" s="189"/>
      <c r="D86" s="203" t="s">
        <v>43</v>
      </c>
      <c r="E86" s="9"/>
      <c r="F86" s="199">
        <v>995.86173709388754</v>
      </c>
      <c r="G86" s="200">
        <v>580597</v>
      </c>
      <c r="H86" s="201">
        <v>89</v>
      </c>
      <c r="I86" s="9"/>
    </row>
    <row r="87" spans="2:9" x14ac:dyDescent="0.2">
      <c r="B87" s="9"/>
      <c r="C87" s="189"/>
      <c r="D87" s="9"/>
      <c r="E87" s="204" t="s">
        <v>7</v>
      </c>
      <c r="F87" s="144">
        <v>5.3179919458925697</v>
      </c>
      <c r="G87" s="104">
        <v>3724</v>
      </c>
      <c r="H87" s="107">
        <v>1</v>
      </c>
      <c r="I87" s="9"/>
    </row>
    <row r="88" spans="2:9" x14ac:dyDescent="0.2">
      <c r="B88" s="9"/>
      <c r="C88" s="189"/>
      <c r="D88" s="9"/>
      <c r="E88" s="204" t="s">
        <v>11</v>
      </c>
      <c r="F88" s="144">
        <v>9.9822089076042092E-2</v>
      </c>
      <c r="G88" s="104">
        <v>72</v>
      </c>
      <c r="H88" s="107">
        <v>2</v>
      </c>
      <c r="I88" s="9"/>
    </row>
    <row r="89" spans="2:9" x14ac:dyDescent="0.2">
      <c r="B89" s="9"/>
      <c r="C89" s="189"/>
      <c r="D89" s="9"/>
      <c r="E89" s="204" t="s">
        <v>13</v>
      </c>
      <c r="F89" s="144">
        <v>0.20802650786936241</v>
      </c>
      <c r="G89" s="104">
        <v>244</v>
      </c>
      <c r="H89" s="107">
        <v>4</v>
      </c>
      <c r="I89" s="9"/>
    </row>
    <row r="90" spans="2:9" x14ac:dyDescent="0.2">
      <c r="B90" s="9"/>
      <c r="C90" s="189"/>
      <c r="D90" s="9"/>
      <c r="E90" s="204" t="s">
        <v>14</v>
      </c>
      <c r="F90" s="144">
        <v>7.6841749250888803E-4</v>
      </c>
      <c r="G90" s="104">
        <v>1</v>
      </c>
      <c r="H90" s="107">
        <v>1</v>
      </c>
      <c r="I90" s="9"/>
    </row>
    <row r="91" spans="2:9" x14ac:dyDescent="0.2">
      <c r="B91" s="9"/>
      <c r="C91" s="189"/>
      <c r="D91" s="9"/>
      <c r="E91" s="204" t="s">
        <v>15</v>
      </c>
      <c r="F91" s="144">
        <v>0.11517781578004344</v>
      </c>
      <c r="G91" s="104">
        <v>109</v>
      </c>
      <c r="H91" s="107">
        <v>4</v>
      </c>
      <c r="I91" s="9"/>
    </row>
    <row r="92" spans="2:9" x14ac:dyDescent="0.2">
      <c r="B92" s="9"/>
      <c r="C92" s="189"/>
      <c r="D92" s="9"/>
      <c r="E92" s="204" t="s">
        <v>16</v>
      </c>
      <c r="F92" s="144">
        <v>4.3402288109064102E-2</v>
      </c>
      <c r="G92" s="104">
        <v>38</v>
      </c>
      <c r="H92" s="107">
        <v>1</v>
      </c>
      <c r="I92" s="9"/>
    </row>
    <row r="93" spans="2:9" x14ac:dyDescent="0.2">
      <c r="B93" s="9"/>
      <c r="C93" s="189"/>
      <c r="D93" s="9"/>
      <c r="E93" s="204" t="s">
        <v>17</v>
      </c>
      <c r="F93" s="144">
        <v>80.577597985975387</v>
      </c>
      <c r="G93" s="104">
        <v>92096</v>
      </c>
      <c r="H93" s="107">
        <v>10</v>
      </c>
      <c r="I93" s="9"/>
    </row>
    <row r="94" spans="2:9" x14ac:dyDescent="0.2">
      <c r="B94" s="9"/>
      <c r="C94" s="189"/>
      <c r="D94" s="9"/>
      <c r="E94" s="204" t="s">
        <v>18</v>
      </c>
      <c r="F94" s="144">
        <v>18.785254020243794</v>
      </c>
      <c r="G94" s="104">
        <v>43646</v>
      </c>
      <c r="H94" s="107">
        <v>53</v>
      </c>
      <c r="I94" s="9"/>
    </row>
    <row r="95" spans="2:9" ht="17" thickBot="1" x14ac:dyDescent="0.25">
      <c r="B95" s="9"/>
      <c r="C95" s="189"/>
      <c r="D95" s="9"/>
      <c r="E95" s="204" t="s">
        <v>128</v>
      </c>
      <c r="F95" s="144">
        <v>890.71369602344873</v>
      </c>
      <c r="G95" s="104">
        <v>440667</v>
      </c>
      <c r="H95" s="107">
        <v>13</v>
      </c>
      <c r="I95" s="9"/>
    </row>
    <row r="96" spans="2:9" ht="17" thickBot="1" x14ac:dyDescent="0.25">
      <c r="B96" s="9"/>
      <c r="C96" s="189"/>
      <c r="D96" s="148" t="s">
        <v>45</v>
      </c>
      <c r="E96" s="194"/>
      <c r="F96" s="195">
        <v>10.262659804895511</v>
      </c>
      <c r="G96" s="196">
        <v>21501</v>
      </c>
      <c r="H96" s="197">
        <v>23</v>
      </c>
      <c r="I96" s="9"/>
    </row>
    <row r="97" spans="2:9" x14ac:dyDescent="0.2">
      <c r="B97" s="9"/>
      <c r="C97" s="189"/>
      <c r="D97" s="9"/>
      <c r="E97" s="204" t="s">
        <v>7</v>
      </c>
      <c r="F97" s="144">
        <v>6.8649260215461254</v>
      </c>
      <c r="G97" s="104">
        <v>12309</v>
      </c>
      <c r="H97" s="107">
        <v>2</v>
      </c>
      <c r="I97" s="9"/>
    </row>
    <row r="98" spans="2:9" x14ac:dyDescent="0.2">
      <c r="B98" s="9"/>
      <c r="C98" s="189"/>
      <c r="D98" s="9"/>
      <c r="E98" s="204" t="s">
        <v>13</v>
      </c>
      <c r="F98" s="144">
        <v>1.0455800220370199E-3</v>
      </c>
      <c r="G98" s="104">
        <v>1</v>
      </c>
      <c r="H98" s="107">
        <v>1</v>
      </c>
      <c r="I98" s="9"/>
    </row>
    <row r="99" spans="2:9" x14ac:dyDescent="0.2">
      <c r="B99" s="9"/>
      <c r="C99" s="189"/>
      <c r="D99" s="9"/>
      <c r="E99" s="204" t="s">
        <v>14</v>
      </c>
      <c r="F99" s="144">
        <v>2.13088560849428E-3</v>
      </c>
      <c r="G99" s="104">
        <v>4</v>
      </c>
      <c r="H99" s="107">
        <v>1</v>
      </c>
      <c r="I99" s="9"/>
    </row>
    <row r="100" spans="2:9" x14ac:dyDescent="0.2">
      <c r="B100" s="9"/>
      <c r="C100" s="189"/>
      <c r="D100" s="9"/>
      <c r="E100" s="204" t="s">
        <v>16</v>
      </c>
      <c r="F100" s="144">
        <v>5.8538187295198397E-4</v>
      </c>
      <c r="G100" s="104">
        <v>2</v>
      </c>
      <c r="H100" s="107">
        <v>1</v>
      </c>
      <c r="I100" s="9"/>
    </row>
    <row r="101" spans="2:9" x14ac:dyDescent="0.2">
      <c r="B101" s="9"/>
      <c r="C101" s="189"/>
      <c r="D101" s="9"/>
      <c r="E101" s="204" t="s">
        <v>18</v>
      </c>
      <c r="F101" s="144">
        <v>1.5948532242327851</v>
      </c>
      <c r="G101" s="104">
        <v>3373</v>
      </c>
      <c r="H101" s="107">
        <v>13</v>
      </c>
      <c r="I101" s="9"/>
    </row>
    <row r="102" spans="2:9" ht="17" thickBot="1" x14ac:dyDescent="0.25">
      <c r="B102" s="9"/>
      <c r="C102" s="189"/>
      <c r="D102" s="9"/>
      <c r="E102" s="204" t="s">
        <v>128</v>
      </c>
      <c r="F102" s="144">
        <v>1.7991187116131171</v>
      </c>
      <c r="G102" s="104">
        <v>5812</v>
      </c>
      <c r="H102" s="107">
        <v>5</v>
      </c>
      <c r="I102" s="9"/>
    </row>
    <row r="103" spans="2:9" ht="17" thickBot="1" x14ac:dyDescent="0.25">
      <c r="B103" s="9"/>
      <c r="C103" s="190" t="s">
        <v>3</v>
      </c>
      <c r="D103" s="191"/>
      <c r="E103" s="191"/>
      <c r="F103" s="192">
        <v>27048.564936637777</v>
      </c>
      <c r="G103" s="193">
        <v>15001545</v>
      </c>
      <c r="H103" s="198">
        <v>219</v>
      </c>
      <c r="I103" s="9"/>
    </row>
    <row r="104" spans="2:9" ht="18" thickTop="1" thickBot="1" x14ac:dyDescent="0.25">
      <c r="B104" s="9"/>
      <c r="C104" s="214"/>
      <c r="D104" s="215" t="s">
        <v>189</v>
      </c>
      <c r="E104" s="9"/>
      <c r="F104" s="199">
        <v>0.35467074997723103</v>
      </c>
      <c r="G104" s="200">
        <v>2</v>
      </c>
      <c r="H104" s="201">
        <v>1</v>
      </c>
      <c r="I104" s="9"/>
    </row>
    <row r="105" spans="2:9" ht="17" thickBot="1" x14ac:dyDescent="0.25">
      <c r="B105" s="9"/>
      <c r="C105" s="214"/>
      <c r="D105" s="9"/>
      <c r="E105" s="217" t="s">
        <v>128</v>
      </c>
      <c r="F105" s="129">
        <v>0.35467074997723103</v>
      </c>
      <c r="G105" s="130">
        <v>2</v>
      </c>
      <c r="H105" s="131">
        <v>1</v>
      </c>
      <c r="I105" s="9"/>
    </row>
    <row r="106" spans="2:9" ht="17" thickBot="1" x14ac:dyDescent="0.25">
      <c r="B106" s="9"/>
      <c r="C106" s="189"/>
      <c r="D106" s="148" t="s">
        <v>47</v>
      </c>
      <c r="E106" s="218"/>
      <c r="F106" s="219">
        <v>852.67322750668768</v>
      </c>
      <c r="G106" s="220">
        <v>330275</v>
      </c>
      <c r="H106" s="221">
        <v>46</v>
      </c>
      <c r="I106" s="9"/>
    </row>
    <row r="107" spans="2:9" x14ac:dyDescent="0.2">
      <c r="B107" s="9"/>
      <c r="C107" s="189"/>
      <c r="D107" s="9"/>
      <c r="E107" s="204" t="s">
        <v>6</v>
      </c>
      <c r="F107" s="144">
        <v>75.268439420498893</v>
      </c>
      <c r="G107" s="104">
        <v>21648</v>
      </c>
      <c r="H107" s="107">
        <v>1</v>
      </c>
      <c r="I107" s="9"/>
    </row>
    <row r="108" spans="2:9" x14ac:dyDescent="0.2">
      <c r="B108" s="9"/>
      <c r="C108" s="189"/>
      <c r="D108" s="9"/>
      <c r="E108" s="204" t="s">
        <v>7</v>
      </c>
      <c r="F108" s="144">
        <v>4.2560957008972702</v>
      </c>
      <c r="G108" s="104">
        <v>21112</v>
      </c>
      <c r="H108" s="107">
        <v>1</v>
      </c>
      <c r="I108" s="9"/>
    </row>
    <row r="109" spans="2:9" x14ac:dyDescent="0.2">
      <c r="B109" s="9"/>
      <c r="C109" s="189"/>
      <c r="D109" s="9"/>
      <c r="E109" s="204" t="s">
        <v>13</v>
      </c>
      <c r="F109" s="144">
        <v>13.006704000756093</v>
      </c>
      <c r="G109" s="104">
        <v>2989</v>
      </c>
      <c r="H109" s="107">
        <v>4</v>
      </c>
      <c r="I109" s="9"/>
    </row>
    <row r="110" spans="2:9" x14ac:dyDescent="0.2">
      <c r="B110" s="9"/>
      <c r="C110" s="189"/>
      <c r="D110" s="9"/>
      <c r="E110" s="204" t="s">
        <v>15</v>
      </c>
      <c r="F110" s="144">
        <v>1.0543558746576301E-3</v>
      </c>
      <c r="G110" s="104">
        <v>1</v>
      </c>
      <c r="H110" s="107">
        <v>2</v>
      </c>
      <c r="I110" s="9"/>
    </row>
    <row r="111" spans="2:9" x14ac:dyDescent="0.2">
      <c r="B111" s="9"/>
      <c r="C111" s="189"/>
      <c r="D111" s="9"/>
      <c r="E111" s="204" t="s">
        <v>16</v>
      </c>
      <c r="F111" s="144">
        <v>533.5975155821061</v>
      </c>
      <c r="G111" s="104">
        <v>186910</v>
      </c>
      <c r="H111" s="107">
        <v>8</v>
      </c>
      <c r="I111" s="9"/>
    </row>
    <row r="112" spans="2:9" x14ac:dyDescent="0.2">
      <c r="B112" s="9"/>
      <c r="C112" s="189"/>
      <c r="D112" s="9"/>
      <c r="E112" s="204" t="s">
        <v>17</v>
      </c>
      <c r="F112" s="144">
        <v>173.04884290136303</v>
      </c>
      <c r="G112" s="104">
        <v>80974</v>
      </c>
      <c r="H112" s="107">
        <v>4</v>
      </c>
      <c r="I112" s="9"/>
    </row>
    <row r="113" spans="2:9" x14ac:dyDescent="0.2">
      <c r="B113" s="9"/>
      <c r="C113" s="189"/>
      <c r="D113" s="9"/>
      <c r="E113" s="204" t="s">
        <v>18</v>
      </c>
      <c r="F113" s="144">
        <v>53.459479647688504</v>
      </c>
      <c r="G113" s="104">
        <v>16634</v>
      </c>
      <c r="H113" s="107">
        <v>22</v>
      </c>
      <c r="I113" s="9"/>
    </row>
    <row r="114" spans="2:9" x14ac:dyDescent="0.2">
      <c r="B114" s="9"/>
      <c r="C114" s="189"/>
      <c r="D114" s="9"/>
      <c r="E114" s="204" t="s">
        <v>128</v>
      </c>
      <c r="F114" s="144">
        <v>1.1179335415363301E-3</v>
      </c>
      <c r="G114" s="104">
        <v>2</v>
      </c>
      <c r="H114" s="107">
        <v>3</v>
      </c>
      <c r="I114" s="9"/>
    </row>
    <row r="115" spans="2:9" ht="17" thickBot="1" x14ac:dyDescent="0.25">
      <c r="B115" s="9"/>
      <c r="C115" s="189"/>
      <c r="D115" s="9"/>
      <c r="E115" s="204" t="s">
        <v>19</v>
      </c>
      <c r="F115" s="144">
        <v>3.39779639616608E-2</v>
      </c>
      <c r="G115" s="104">
        <v>5</v>
      </c>
      <c r="H115" s="107">
        <v>1</v>
      </c>
      <c r="I115" s="9"/>
    </row>
    <row r="116" spans="2:9" ht="17" thickBot="1" x14ac:dyDescent="0.25">
      <c r="B116" s="9"/>
      <c r="C116" s="189"/>
      <c r="D116" s="148" t="s">
        <v>49</v>
      </c>
      <c r="E116" s="194"/>
      <c r="F116" s="195">
        <v>22063.659571391432</v>
      </c>
      <c r="G116" s="196">
        <v>7074145</v>
      </c>
      <c r="H116" s="197">
        <v>81</v>
      </c>
      <c r="I116" s="9"/>
    </row>
    <row r="117" spans="2:9" x14ac:dyDescent="0.2">
      <c r="B117" s="9"/>
      <c r="C117" s="189"/>
      <c r="D117" s="9"/>
      <c r="E117" s="204" t="s">
        <v>7</v>
      </c>
      <c r="F117" s="144">
        <v>6.7934315977618001</v>
      </c>
      <c r="G117" s="104">
        <v>34153</v>
      </c>
      <c r="H117" s="107">
        <v>1</v>
      </c>
      <c r="I117" s="9"/>
    </row>
    <row r="118" spans="2:9" x14ac:dyDescent="0.2">
      <c r="B118" s="9"/>
      <c r="C118" s="189"/>
      <c r="D118" s="9"/>
      <c r="E118" s="204" t="s">
        <v>11</v>
      </c>
      <c r="F118" s="144">
        <v>5.7111531496047904E-3</v>
      </c>
      <c r="G118" s="104">
        <v>9</v>
      </c>
      <c r="H118" s="107">
        <v>1</v>
      </c>
      <c r="I118" s="9"/>
    </row>
    <row r="119" spans="2:9" x14ac:dyDescent="0.2">
      <c r="B119" s="9"/>
      <c r="C119" s="189"/>
      <c r="D119" s="9"/>
      <c r="E119" s="204" t="s">
        <v>13</v>
      </c>
      <c r="F119" s="144">
        <v>68.702506471425224</v>
      </c>
      <c r="G119" s="104">
        <v>20818</v>
      </c>
      <c r="H119" s="107">
        <v>7</v>
      </c>
      <c r="I119" s="9"/>
    </row>
    <row r="120" spans="2:9" x14ac:dyDescent="0.2">
      <c r="B120" s="9"/>
      <c r="C120" s="189"/>
      <c r="D120" s="9"/>
      <c r="E120" s="204" t="s">
        <v>15</v>
      </c>
      <c r="F120" s="144">
        <v>4.4294819235801599E-4</v>
      </c>
      <c r="G120" s="104">
        <v>1</v>
      </c>
      <c r="H120" s="107">
        <v>1</v>
      </c>
      <c r="I120" s="9"/>
    </row>
    <row r="121" spans="2:9" x14ac:dyDescent="0.2">
      <c r="B121" s="9"/>
      <c r="C121" s="189"/>
      <c r="D121" s="9"/>
      <c r="E121" s="204" t="s">
        <v>16</v>
      </c>
      <c r="F121" s="144">
        <v>38.803239508531888</v>
      </c>
      <c r="G121" s="104">
        <v>51841</v>
      </c>
      <c r="H121" s="107">
        <v>13</v>
      </c>
      <c r="I121" s="9"/>
    </row>
    <row r="122" spans="2:9" x14ac:dyDescent="0.2">
      <c r="B122" s="9"/>
      <c r="C122" s="189"/>
      <c r="D122" s="9"/>
      <c r="E122" s="204" t="s">
        <v>17</v>
      </c>
      <c r="F122" s="144">
        <v>85.412517313845356</v>
      </c>
      <c r="G122" s="104">
        <v>112620</v>
      </c>
      <c r="H122" s="107">
        <v>7</v>
      </c>
      <c r="I122" s="9"/>
    </row>
    <row r="123" spans="2:9" x14ac:dyDescent="0.2">
      <c r="B123" s="9"/>
      <c r="C123" s="189"/>
      <c r="D123" s="9"/>
      <c r="E123" s="204" t="s">
        <v>18</v>
      </c>
      <c r="F123" s="144">
        <v>26.170024096034375</v>
      </c>
      <c r="G123" s="104">
        <v>17625</v>
      </c>
      <c r="H123" s="107">
        <v>39</v>
      </c>
      <c r="I123" s="9"/>
    </row>
    <row r="124" spans="2:9" x14ac:dyDescent="0.2">
      <c r="B124" s="9"/>
      <c r="C124" s="189"/>
      <c r="D124" s="9"/>
      <c r="E124" s="204" t="s">
        <v>128</v>
      </c>
      <c r="F124" s="144">
        <v>21837.655504624261</v>
      </c>
      <c r="G124" s="104">
        <v>6837061</v>
      </c>
      <c r="H124" s="107">
        <v>8</v>
      </c>
      <c r="I124" s="9"/>
    </row>
    <row r="125" spans="2:9" x14ac:dyDescent="0.2">
      <c r="B125" s="9"/>
      <c r="C125" s="189"/>
      <c r="D125" s="9"/>
      <c r="E125" s="204" t="s">
        <v>19</v>
      </c>
      <c r="F125" s="144">
        <v>7.6101362705230699E-2</v>
      </c>
      <c r="G125" s="104">
        <v>2</v>
      </c>
      <c r="H125" s="107">
        <v>1</v>
      </c>
      <c r="I125" s="9"/>
    </row>
    <row r="126" spans="2:9" x14ac:dyDescent="0.2">
      <c r="B126" s="9"/>
      <c r="C126" s="189"/>
      <c r="D126" s="9"/>
      <c r="E126" s="204" t="s">
        <v>20</v>
      </c>
      <c r="F126" s="144">
        <v>2.4065133184194534E-3</v>
      </c>
      <c r="G126" s="104">
        <v>5</v>
      </c>
      <c r="H126" s="107">
        <v>2</v>
      </c>
      <c r="I126" s="9"/>
    </row>
    <row r="127" spans="2:9" ht="17" thickBot="1" x14ac:dyDescent="0.25">
      <c r="B127" s="9"/>
      <c r="C127" s="189"/>
      <c r="D127" s="9"/>
      <c r="E127" s="204" t="s">
        <v>167</v>
      </c>
      <c r="F127" s="144">
        <v>3.7685802206397001E-2</v>
      </c>
      <c r="G127" s="104">
        <v>10</v>
      </c>
      <c r="H127" s="107">
        <v>1</v>
      </c>
      <c r="I127" s="9"/>
    </row>
    <row r="128" spans="2:9" ht="17" thickBot="1" x14ac:dyDescent="0.25">
      <c r="B128" s="9"/>
      <c r="C128" s="189"/>
      <c r="D128" s="148" t="s">
        <v>139</v>
      </c>
      <c r="E128" s="194"/>
      <c r="F128" s="195">
        <v>4131.8774669896793</v>
      </c>
      <c r="G128" s="196">
        <v>7597123</v>
      </c>
      <c r="H128" s="197">
        <v>91</v>
      </c>
      <c r="I128" s="9"/>
    </row>
    <row r="129" spans="2:9" x14ac:dyDescent="0.2">
      <c r="B129" s="9"/>
      <c r="C129" s="189"/>
      <c r="D129" s="9"/>
      <c r="E129" s="204" t="s">
        <v>6</v>
      </c>
      <c r="F129" s="144">
        <v>0.46021177992224599</v>
      </c>
      <c r="G129" s="104">
        <v>254</v>
      </c>
      <c r="H129" s="107">
        <v>1</v>
      </c>
      <c r="I129" s="9"/>
    </row>
    <row r="130" spans="2:9" x14ac:dyDescent="0.2">
      <c r="B130" s="9"/>
      <c r="C130" s="189"/>
      <c r="D130" s="9"/>
      <c r="E130" s="204" t="s">
        <v>13</v>
      </c>
      <c r="F130" s="144">
        <v>21.302472652867372</v>
      </c>
      <c r="G130" s="104">
        <v>18690</v>
      </c>
      <c r="H130" s="107">
        <v>6</v>
      </c>
      <c r="I130" s="9"/>
    </row>
    <row r="131" spans="2:9" x14ac:dyDescent="0.2">
      <c r="B131" s="9"/>
      <c r="C131" s="189"/>
      <c r="D131" s="9"/>
      <c r="E131" s="204" t="s">
        <v>15</v>
      </c>
      <c r="F131" s="144">
        <v>4.9362890422344201E-5</v>
      </c>
      <c r="G131" s="104">
        <v>1</v>
      </c>
      <c r="H131" s="107">
        <v>1</v>
      </c>
      <c r="I131" s="9"/>
    </row>
    <row r="132" spans="2:9" x14ac:dyDescent="0.2">
      <c r="B132" s="9"/>
      <c r="C132" s="189"/>
      <c r="D132" s="9"/>
      <c r="E132" s="204" t="s">
        <v>16</v>
      </c>
      <c r="F132" s="144">
        <v>32.608286690898211</v>
      </c>
      <c r="G132" s="104">
        <v>31810</v>
      </c>
      <c r="H132" s="107">
        <v>10</v>
      </c>
      <c r="I132" s="9"/>
    </row>
    <row r="133" spans="2:9" x14ac:dyDescent="0.2">
      <c r="B133" s="9"/>
      <c r="C133" s="189"/>
      <c r="D133" s="9"/>
      <c r="E133" s="204" t="s">
        <v>17</v>
      </c>
      <c r="F133" s="144">
        <v>5.5708428388461364</v>
      </c>
      <c r="G133" s="104">
        <v>17646</v>
      </c>
      <c r="H133" s="107">
        <v>11</v>
      </c>
      <c r="I133" s="9"/>
    </row>
    <row r="134" spans="2:9" x14ac:dyDescent="0.2">
      <c r="B134" s="9"/>
      <c r="C134" s="189"/>
      <c r="D134" s="9"/>
      <c r="E134" s="204" t="s">
        <v>18</v>
      </c>
      <c r="F134" s="144">
        <v>516.75190166477034</v>
      </c>
      <c r="G134" s="104">
        <v>660745</v>
      </c>
      <c r="H134" s="107">
        <v>54</v>
      </c>
      <c r="I134" s="9"/>
    </row>
    <row r="135" spans="2:9" x14ac:dyDescent="0.2">
      <c r="B135" s="9"/>
      <c r="C135" s="189"/>
      <c r="D135" s="9"/>
      <c r="E135" s="204" t="s">
        <v>128</v>
      </c>
      <c r="F135" s="144">
        <v>3555.183620526454</v>
      </c>
      <c r="G135" s="104">
        <v>6867976</v>
      </c>
      <c r="H135" s="107">
        <v>7</v>
      </c>
      <c r="I135" s="9"/>
    </row>
    <row r="136" spans="2:9" ht="17" thickBot="1" x14ac:dyDescent="0.25">
      <c r="B136" s="9"/>
      <c r="C136" s="189"/>
      <c r="D136" s="9"/>
      <c r="E136" s="204" t="s">
        <v>19</v>
      </c>
      <c r="F136" s="144">
        <v>8.1473030149936595E-5</v>
      </c>
      <c r="G136" s="104">
        <v>1</v>
      </c>
      <c r="H136" s="107">
        <v>1</v>
      </c>
      <c r="I136" s="9"/>
    </row>
    <row r="137" spans="2:9" ht="17" thickBot="1" x14ac:dyDescent="0.25">
      <c r="B137" s="9"/>
      <c r="C137" s="202"/>
      <c r="D137" s="148" t="s">
        <v>4</v>
      </c>
      <c r="E137" s="67"/>
      <c r="F137" s="98">
        <v>809061.69320482924</v>
      </c>
      <c r="G137" s="96">
        <v>148917322</v>
      </c>
      <c r="H137" s="97">
        <v>1613</v>
      </c>
      <c r="I137" s="9"/>
    </row>
    <row r="138" spans="2:9" x14ac:dyDescent="0.2">
      <c r="B138" s="9"/>
      <c r="C138" s="6"/>
      <c r="D138" s="9"/>
      <c r="E138" s="9"/>
      <c r="F138" s="9"/>
      <c r="G138" s="9"/>
      <c r="H138" s="9"/>
      <c r="I138"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Sangha, Simran S (US 334H)</cp:lastModifiedBy>
  <dcterms:created xsi:type="dcterms:W3CDTF">2024-09-09T15:09:53Z</dcterms:created>
  <dcterms:modified xsi:type="dcterms:W3CDTF">2026-01-20T23:55:43Z</dcterms:modified>
</cp:coreProperties>
</file>